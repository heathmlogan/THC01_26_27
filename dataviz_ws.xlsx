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heath\Downloads\"/>
    </mc:Choice>
  </mc:AlternateContent>
  <xr:revisionPtr revIDLastSave="0" documentId="13_ncr:1_{922D6FDE-CDB6-4F26-B024-0B06F44003AF}" xr6:coauthVersionLast="47" xr6:coauthVersionMax="47" xr10:uidLastSave="{00000000-0000-0000-0000-000000000000}"/>
  <bookViews>
    <workbookView xWindow="-120" yWindow="-120" windowWidth="29040" windowHeight="15720" xr2:uid="{55BBC740-569D-4E26-9874-21632AEF7B1B}"/>
  </bookViews>
  <sheets>
    <sheet name="README" sheetId="8" r:id="rId1"/>
    <sheet name="Ecological FP" sheetId="2" r:id="rId2"/>
    <sheet name="Human Development Index" sheetId="1" r:id="rId3"/>
    <sheet name="Material FP" sheetId="4" r:id="rId4"/>
    <sheet name="EU_MF_tpc" sheetId="6" r:id="rId5"/>
    <sheet name="dataviz" sheetId="5" r:id="rId6"/>
    <sheet name="dataviz_simple" sheetId="7"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J131" i="5" l="1"/>
  <c r="C2" i="5"/>
  <c r="C3" i="5"/>
  <c r="C4" i="5"/>
  <c r="C5" i="5"/>
  <c r="C6" i="5"/>
  <c r="C7" i="5"/>
  <c r="C8" i="5"/>
  <c r="C9" i="5"/>
  <c r="C10" i="5"/>
  <c r="C11" i="5"/>
  <c r="C12" i="5"/>
  <c r="C13" i="5"/>
  <c r="C14" i="5"/>
  <c r="C15" i="5"/>
  <c r="C16" i="5"/>
  <c r="C17" i="5"/>
  <c r="C18" i="5"/>
  <c r="C19" i="5"/>
  <c r="C20" i="5"/>
  <c r="C21" i="5"/>
  <c r="C22" i="5"/>
  <c r="C23" i="5"/>
  <c r="C24" i="5"/>
  <c r="C25" i="5"/>
  <c r="C26" i="5"/>
  <c r="C27" i="5"/>
  <c r="C28" i="5"/>
  <c r="C29" i="5"/>
  <c r="C30" i="5"/>
  <c r="C31" i="5"/>
  <c r="C32" i="5"/>
  <c r="C33" i="5"/>
  <c r="C34" i="5"/>
  <c r="C35" i="5"/>
  <c r="C36" i="5"/>
  <c r="C37" i="5"/>
  <c r="C38" i="5"/>
  <c r="C39" i="5"/>
  <c r="C40" i="5"/>
  <c r="C41" i="5"/>
  <c r="C42" i="5"/>
  <c r="C43" i="5"/>
  <c r="C44" i="5"/>
  <c r="C45" i="5"/>
  <c r="C46" i="5"/>
  <c r="C47" i="5"/>
  <c r="C48" i="5"/>
  <c r="C49" i="5"/>
  <c r="C50" i="5"/>
  <c r="C51" i="5"/>
  <c r="C52" i="5"/>
  <c r="C53" i="5"/>
  <c r="C54" i="5"/>
  <c r="C55" i="5"/>
  <c r="C56" i="5"/>
  <c r="C57" i="5"/>
  <c r="C58" i="5"/>
  <c r="C59" i="5"/>
  <c r="C60" i="5"/>
  <c r="C61" i="5"/>
  <c r="C62" i="5"/>
  <c r="C63" i="5"/>
  <c r="C64" i="5"/>
  <c r="C65" i="5"/>
  <c r="C66" i="5"/>
  <c r="C67" i="5"/>
  <c r="C68" i="5"/>
  <c r="C69" i="5"/>
  <c r="C70" i="5"/>
  <c r="C71" i="5"/>
  <c r="C72" i="5"/>
  <c r="C73" i="5"/>
  <c r="C74" i="5"/>
  <c r="C75" i="5"/>
  <c r="C76" i="5"/>
  <c r="C77" i="5"/>
  <c r="C78" i="5"/>
  <c r="C79" i="5"/>
  <c r="C80" i="5"/>
  <c r="C81" i="5"/>
  <c r="C82" i="5"/>
  <c r="C83" i="5"/>
  <c r="C84" i="5"/>
  <c r="C85" i="5"/>
  <c r="C86" i="5"/>
  <c r="C87" i="5"/>
  <c r="C88" i="5"/>
  <c r="C89" i="5"/>
  <c r="C90" i="5"/>
  <c r="C91" i="5"/>
  <c r="C92" i="5"/>
  <c r="C93" i="5"/>
  <c r="C94" i="5"/>
  <c r="C95" i="5"/>
  <c r="C96" i="5"/>
  <c r="C97" i="5"/>
  <c r="C98" i="5"/>
  <c r="C99" i="5"/>
  <c r="C100" i="5"/>
  <c r="C101" i="5"/>
  <c r="C102" i="5"/>
  <c r="C103" i="5"/>
  <c r="C104" i="5"/>
  <c r="C105" i="5"/>
  <c r="C106" i="5"/>
  <c r="C107" i="5"/>
  <c r="C108" i="5"/>
  <c r="C109" i="5"/>
  <c r="C110" i="5"/>
  <c r="C111" i="5"/>
  <c r="C112" i="5"/>
  <c r="C113" i="5"/>
  <c r="C114" i="5"/>
  <c r="C115" i="5"/>
  <c r="C116" i="5"/>
  <c r="C117" i="5"/>
  <c r="C118" i="5"/>
  <c r="C119" i="5"/>
  <c r="C120" i="5"/>
  <c r="C121" i="5"/>
  <c r="C122" i="5"/>
  <c r="C123" i="5"/>
  <c r="C124" i="5"/>
  <c r="C125" i="5"/>
  <c r="C126" i="5"/>
  <c r="C127" i="5"/>
  <c r="C128" i="5"/>
  <c r="C129" i="5"/>
  <c r="C130" i="5"/>
  <c r="C132" i="5"/>
  <c r="C133" i="5"/>
  <c r="C134" i="5"/>
  <c r="C135" i="5"/>
  <c r="C136" i="5"/>
  <c r="C137" i="5"/>
  <c r="C138" i="5"/>
  <c r="C139" i="5"/>
  <c r="C140" i="5"/>
  <c r="C141" i="5"/>
  <c r="C142" i="5"/>
  <c r="C143" i="5"/>
  <c r="C144" i="5"/>
  <c r="C145" i="5"/>
  <c r="C146" i="5"/>
  <c r="C147" i="5"/>
  <c r="C148" i="5"/>
  <c r="C149" i="5"/>
  <c r="C150" i="5"/>
  <c r="C151" i="5"/>
  <c r="C152" i="5"/>
  <c r="C153" i="5"/>
  <c r="C154" i="5"/>
  <c r="C155" i="5"/>
  <c r="C156" i="5"/>
  <c r="C157" i="5"/>
  <c r="G2"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alcChain>
</file>

<file path=xl/sharedStrings.xml><?xml version="1.0" encoding="utf-8"?>
<sst xmlns="http://schemas.openxmlformats.org/spreadsheetml/2006/main" count="2010" uniqueCount="609">
  <si>
    <t>HDI rank</t>
  </si>
  <si>
    <t>Country</t>
  </si>
  <si>
    <t>Human Development Index (HDI), Value, 2023</t>
  </si>
  <si>
    <t>Life expectancy at birth SDG3,  yrs</t>
  </si>
  <si>
    <t>Expected years of schooling, SDG4.3, yrs</t>
  </si>
  <si>
    <t>Mean years of schooling, SDG4.4, yrs</t>
  </si>
  <si>
    <t>Gross national income (GNI) per capita SDG8.5, 2021 PPP$</t>
  </si>
  <si>
    <t>Very high human development</t>
  </si>
  <si>
    <t>Iceland</t>
  </si>
  <si>
    <t>Norway</t>
  </si>
  <si>
    <t>Switzerland</t>
  </si>
  <si>
    <t>Denmark</t>
  </si>
  <si>
    <t>Germany</t>
  </si>
  <si>
    <t>Sweden</t>
  </si>
  <si>
    <t>Australia</t>
  </si>
  <si>
    <t>Hong Kong, China (SAR)</t>
  </si>
  <si>
    <t>Netherlands</t>
  </si>
  <si>
    <t>Belgium</t>
  </si>
  <si>
    <t>Ireland</t>
  </si>
  <si>
    <t>Finland</t>
  </si>
  <si>
    <t>Singapore</t>
  </si>
  <si>
    <t>United Kingdom</t>
  </si>
  <si>
    <t>United Arab Emirates</t>
  </si>
  <si>
    <t>Canada</t>
  </si>
  <si>
    <t>Liechtenstein</t>
  </si>
  <si>
    <t>New Zealand</t>
  </si>
  <si>
    <t>United States</t>
  </si>
  <si>
    <t>Korea (Republic of)</t>
  </si>
  <si>
    <t>Slovenia</t>
  </si>
  <si>
    <t>Austria</t>
  </si>
  <si>
    <t>Japan</t>
  </si>
  <si>
    <t>Malta</t>
  </si>
  <si>
    <t>Luxembourg</t>
  </si>
  <si>
    <t>France</t>
  </si>
  <si>
    <t>Israel</t>
  </si>
  <si>
    <t>Spain</t>
  </si>
  <si>
    <t>Czechia</t>
  </si>
  <si>
    <t>Italy</t>
  </si>
  <si>
    <t>San Marino</t>
  </si>
  <si>
    <t>Andorra</t>
  </si>
  <si>
    <t>Cyprus</t>
  </si>
  <si>
    <t>Greece</t>
  </si>
  <si>
    <t>Poland</t>
  </si>
  <si>
    <t>Estonia</t>
  </si>
  <si>
    <t>Saudi Arabia</t>
  </si>
  <si>
    <t>Bahrain</t>
  </si>
  <si>
    <t>Lithuania</t>
  </si>
  <si>
    <t>Portugal</t>
  </si>
  <si>
    <t>Croatia</t>
  </si>
  <si>
    <t>Latvia</t>
  </si>
  <si>
    <t>Qatar</t>
  </si>
  <si>
    <t>Slovakia</t>
  </si>
  <si>
    <t>Chile</t>
  </si>
  <si>
    <t>Hungary</t>
  </si>
  <si>
    <t>Argentina</t>
  </si>
  <si>
    <t>Montenegro</t>
  </si>
  <si>
    <t>Uruguay</t>
  </si>
  <si>
    <t>Oman</t>
  </si>
  <si>
    <t>Türkiye</t>
  </si>
  <si>
    <t>Kuwait</t>
  </si>
  <si>
    <t>Antigua and Barbuda</t>
  </si>
  <si>
    <t>Seychelles</t>
  </si>
  <si>
    <t>Bulgaria</t>
  </si>
  <si>
    <t>Romania</t>
  </si>
  <si>
    <t>Georgia</t>
  </si>
  <si>
    <t>Saint Kitts and Nevis</t>
  </si>
  <si>
    <t>Panama</t>
  </si>
  <si>
    <t>Brunei Darussalam</t>
  </si>
  <si>
    <t>Kazakhstan</t>
  </si>
  <si>
    <t>Costa Rica</t>
  </si>
  <si>
    <t>Serbia</t>
  </si>
  <si>
    <t>Russian Federation</t>
  </si>
  <si>
    <t>Belarus</t>
  </si>
  <si>
    <t>Bahamas</t>
  </si>
  <si>
    <t>Malaysia</t>
  </si>
  <si>
    <t>North Macedonia</t>
  </si>
  <si>
    <t>Armenia</t>
  </si>
  <si>
    <t>Barbados</t>
  </si>
  <si>
    <t>Albania</t>
  </si>
  <si>
    <t>Trinidad and Tobago</t>
  </si>
  <si>
    <t>Mauritius</t>
  </si>
  <si>
    <t>Bosnia and Herzegovina</t>
  </si>
  <si>
    <t>High human development</t>
  </si>
  <si>
    <t>Iran (Islamic Republic of)</t>
  </si>
  <si>
    <t>Saint Vincent and the Grenadines</t>
  </si>
  <si>
    <t>Thailand</t>
  </si>
  <si>
    <t>China</t>
  </si>
  <si>
    <t>Peru</t>
  </si>
  <si>
    <t>Grenada</t>
  </si>
  <si>
    <t>Azerbaijan</t>
  </si>
  <si>
    <t>Mexico</t>
  </si>
  <si>
    <t>Colombia</t>
  </si>
  <si>
    <t>Brazil</t>
  </si>
  <si>
    <t>Palau</t>
  </si>
  <si>
    <t>Moldova (Republic of)</t>
  </si>
  <si>
    <t>Ukraine</t>
  </si>
  <si>
    <t>Ecuador</t>
  </si>
  <si>
    <t>Dominican Republic</t>
  </si>
  <si>
    <t>Guyana</t>
  </si>
  <si>
    <t>Sri Lanka</t>
  </si>
  <si>
    <t>Tonga</t>
  </si>
  <si>
    <t>Maldives</t>
  </si>
  <si>
    <t>Viet Nam</t>
  </si>
  <si>
    <t>Turkmenistan</t>
  </si>
  <si>
    <t>Algeria</t>
  </si>
  <si>
    <t>Cuba</t>
  </si>
  <si>
    <t>Dominica</t>
  </si>
  <si>
    <t>Paraguay</t>
  </si>
  <si>
    <t>Egypt</t>
  </si>
  <si>
    <t>Jordan</t>
  </si>
  <si>
    <t>Lebanon</t>
  </si>
  <si>
    <t>Saint Lucia</t>
  </si>
  <si>
    <t>Mongolia</t>
  </si>
  <si>
    <t>Tunisia</t>
  </si>
  <si>
    <t>South Africa</t>
  </si>
  <si>
    <t>Uzbekistan</t>
  </si>
  <si>
    <t>Bolivia (Plurinational State of)</t>
  </si>
  <si>
    <t>Gabon</t>
  </si>
  <si>
    <t>Marshall Islands</t>
  </si>
  <si>
    <t>Botswana</t>
  </si>
  <si>
    <t>Fiji</t>
  </si>
  <si>
    <t>Indonesia</t>
  </si>
  <si>
    <t>Suriname</t>
  </si>
  <si>
    <t>Belize</t>
  </si>
  <si>
    <t>Libya</t>
  </si>
  <si>
    <t>Jamaica</t>
  </si>
  <si>
    <t>Kyrgyzstan</t>
  </si>
  <si>
    <t>Philippines</t>
  </si>
  <si>
    <t>Morocco</t>
  </si>
  <si>
    <t>Venezuela (Bolivarian Republic of)</t>
  </si>
  <si>
    <t>Samoa</t>
  </si>
  <si>
    <t>Nicaragua</t>
  </si>
  <si>
    <t>Nauru</t>
  </si>
  <si>
    <t>Medium human development</t>
  </si>
  <si>
    <t>Bhutan</t>
  </si>
  <si>
    <t>Eswatini (Kingdom of)</t>
  </si>
  <si>
    <t>Iraq</t>
  </si>
  <si>
    <t>Tajikistan</t>
  </si>
  <si>
    <t>Tuvalu</t>
  </si>
  <si>
    <t>Bangladesh</t>
  </si>
  <si>
    <t>India</t>
  </si>
  <si>
    <t>El Salvador</t>
  </si>
  <si>
    <t>Equatorial Guinea</t>
  </si>
  <si>
    <t>Palestine, State of</t>
  </si>
  <si>
    <t>Cabo Verde</t>
  </si>
  <si>
    <t>Namibia</t>
  </si>
  <si>
    <t>Guatemala</t>
  </si>
  <si>
    <t>Congo</t>
  </si>
  <si>
    <t>Honduras</t>
  </si>
  <si>
    <t>Kiribati</t>
  </si>
  <si>
    <t>Sao Tome and Principe</t>
  </si>
  <si>
    <t>Timor-Leste</t>
  </si>
  <si>
    <t>Ghana</t>
  </si>
  <si>
    <t>Kenya</t>
  </si>
  <si>
    <t>Nepal</t>
  </si>
  <si>
    <t>Vanuatu</t>
  </si>
  <si>
    <t>Lao People's Democratic Republic</t>
  </si>
  <si>
    <t>Angola</t>
  </si>
  <si>
    <t>Micronesia (Federated States of)</t>
  </si>
  <si>
    <t>Myanmar</t>
  </si>
  <si>
    <t>Cambodia</t>
  </si>
  <si>
    <t>Comoros</t>
  </si>
  <si>
    <t>Zimbabwe</t>
  </si>
  <si>
    <t>Zambia</t>
  </si>
  <si>
    <t>Cameroon</t>
  </si>
  <si>
    <t>Solomon Islands</t>
  </si>
  <si>
    <t>Côte d'Ivoire</t>
  </si>
  <si>
    <t>Uganda</t>
  </si>
  <si>
    <t>Rwanda</t>
  </si>
  <si>
    <t>Papua New Guinea</t>
  </si>
  <si>
    <t>Togo</t>
  </si>
  <si>
    <t>Syrian Arab Republic</t>
  </si>
  <si>
    <t>Mauritania</t>
  </si>
  <si>
    <t>Nigeria</t>
  </si>
  <si>
    <t>Tanzania (United Republic of)</t>
  </si>
  <si>
    <t>Haiti</t>
  </si>
  <si>
    <t>Lesotho</t>
  </si>
  <si>
    <t>Low human development</t>
  </si>
  <si>
    <t>Pakistan</t>
  </si>
  <si>
    <t>Senegal</t>
  </si>
  <si>
    <t>Gambia</t>
  </si>
  <si>
    <t>Congo (Democratic Republic of the)</t>
  </si>
  <si>
    <t>Malawi</t>
  </si>
  <si>
    <t>Benin</t>
  </si>
  <si>
    <t>Guinea-Bissau</t>
  </si>
  <si>
    <t>Djibouti</t>
  </si>
  <si>
    <t>Sudan</t>
  </si>
  <si>
    <t>Liberia</t>
  </si>
  <si>
    <t>Eritrea</t>
  </si>
  <si>
    <t>Guinea</t>
  </si>
  <si>
    <t>Ethiopia</t>
  </si>
  <si>
    <t>Afghanistan</t>
  </si>
  <si>
    <t>Mozambique</t>
  </si>
  <si>
    <t>Madagascar</t>
  </si>
  <si>
    <t>Yemen</t>
  </si>
  <si>
    <t>Sierra Leone</t>
  </si>
  <si>
    <t>Burkina Faso</t>
  </si>
  <si>
    <t>Burundi</t>
  </si>
  <si>
    <t>Mali</t>
  </si>
  <si>
    <t>Niger</t>
  </si>
  <si>
    <t>Chad</t>
  </si>
  <si>
    <t>Central African Republic</t>
  </si>
  <si>
    <t>Somalia</t>
  </si>
  <si>
    <t>South Sudan</t>
  </si>
  <si>
    <t>country_name</t>
  </si>
  <si>
    <t>country_ISO3</t>
  </si>
  <si>
    <t>year</t>
  </si>
  <si>
    <t>flag</t>
  </si>
  <si>
    <t>pop_1000_persons</t>
  </si>
  <si>
    <t>efc_total_gha, Ecological Footprint of Consumption, which is the nationally consumable product, which is derived as EFP + EFI - EFE</t>
  </si>
  <si>
    <t>EFC (gha PP)</t>
  </si>
  <si>
    <t>AFG</t>
  </si>
  <si>
    <t>+++</t>
  </si>
  <si>
    <t>ALB</t>
  </si>
  <si>
    <t>++</t>
  </si>
  <si>
    <t>DZA</t>
  </si>
  <si>
    <t>+</t>
  </si>
  <si>
    <t>American Samoa</t>
  </si>
  <si>
    <t>ASM</t>
  </si>
  <si>
    <t>-</t>
  </si>
  <si>
    <t>AND</t>
  </si>
  <si>
    <t>AGO</t>
  </si>
  <si>
    <t>Anguilla</t>
  </si>
  <si>
    <t>AIA</t>
  </si>
  <si>
    <t>ATG</t>
  </si>
  <si>
    <t>ARG</t>
  </si>
  <si>
    <t>ARM</t>
  </si>
  <si>
    <t>Aruba</t>
  </si>
  <si>
    <t>ABW</t>
  </si>
  <si>
    <t>AUS</t>
  </si>
  <si>
    <t>AUT</t>
  </si>
  <si>
    <t>AZE</t>
  </si>
  <si>
    <t>BHS</t>
  </si>
  <si>
    <t>BHR</t>
  </si>
  <si>
    <t>BGD</t>
  </si>
  <si>
    <t>BRB</t>
  </si>
  <si>
    <t>BLR</t>
  </si>
  <si>
    <t>BEL</t>
  </si>
  <si>
    <t>BLZ</t>
  </si>
  <si>
    <t>BEN</t>
  </si>
  <si>
    <t>Bermuda</t>
  </si>
  <si>
    <t>BMU</t>
  </si>
  <si>
    <t>BTN</t>
  </si>
  <si>
    <t>Bolivia</t>
  </si>
  <si>
    <t>BOL</t>
  </si>
  <si>
    <t>Bonaire, Sint Eustatius and Saba</t>
  </si>
  <si>
    <t>BES</t>
  </si>
  <si>
    <t>BIH</t>
  </si>
  <si>
    <t>BWA</t>
  </si>
  <si>
    <t>BRA</t>
  </si>
  <si>
    <t>British Virgin Islands</t>
  </si>
  <si>
    <t>VGB</t>
  </si>
  <si>
    <t>BRN</t>
  </si>
  <si>
    <t>BGR</t>
  </si>
  <si>
    <t>BFA</t>
  </si>
  <si>
    <t>BDI</t>
  </si>
  <si>
    <t>CPV</t>
  </si>
  <si>
    <t>KHM</t>
  </si>
  <si>
    <t>CMR</t>
  </si>
  <si>
    <t>CAN</t>
  </si>
  <si>
    <t>Cayman Islands</t>
  </si>
  <si>
    <t>CYM</t>
  </si>
  <si>
    <t>CAF</t>
  </si>
  <si>
    <t>TCD</t>
  </si>
  <si>
    <t>CHL</t>
  </si>
  <si>
    <t>CHN</t>
  </si>
  <si>
    <t>COL</t>
  </si>
  <si>
    <t>COM</t>
  </si>
  <si>
    <t>COG</t>
  </si>
  <si>
    <t>Congo, Democratic Republic of</t>
  </si>
  <si>
    <t>COD</t>
  </si>
  <si>
    <t>Cook Islands</t>
  </si>
  <si>
    <t>COK</t>
  </si>
  <si>
    <t>CRI</t>
  </si>
  <si>
    <t>CIV</t>
  </si>
  <si>
    <t>HRV</t>
  </si>
  <si>
    <t>CUB</t>
  </si>
  <si>
    <t>Curaçao</t>
  </si>
  <si>
    <t>CUW</t>
  </si>
  <si>
    <t>CYP</t>
  </si>
  <si>
    <t>Czech Republic</t>
  </si>
  <si>
    <t>CZE</t>
  </si>
  <si>
    <t>DNK</t>
  </si>
  <si>
    <t>DJI</t>
  </si>
  <si>
    <t>DMA</t>
  </si>
  <si>
    <t>DOM</t>
  </si>
  <si>
    <t>ECU</t>
  </si>
  <si>
    <t>EGY</t>
  </si>
  <si>
    <t>SLV</t>
  </si>
  <si>
    <t>GNQ</t>
  </si>
  <si>
    <t>ERI</t>
  </si>
  <si>
    <t>EST</t>
  </si>
  <si>
    <t>Eswatini</t>
  </si>
  <si>
    <t>SWZ</t>
  </si>
  <si>
    <t>ETH</t>
  </si>
  <si>
    <t>Falkland Islands</t>
  </si>
  <si>
    <t>FLK</t>
  </si>
  <si>
    <t>Faroe Islands</t>
  </si>
  <si>
    <t>FRO</t>
  </si>
  <si>
    <t>FJI</t>
  </si>
  <si>
    <t>FIN</t>
  </si>
  <si>
    <t>FRA</t>
  </si>
  <si>
    <t>French Guiana</t>
  </si>
  <si>
    <t>GUF</t>
  </si>
  <si>
    <t>French Polynesia</t>
  </si>
  <si>
    <t>PYF</t>
  </si>
  <si>
    <t>GAB</t>
  </si>
  <si>
    <t>GMB</t>
  </si>
  <si>
    <t>GEO</t>
  </si>
  <si>
    <t>DEU</t>
  </si>
  <si>
    <t>GHA</t>
  </si>
  <si>
    <t>Gibraltar</t>
  </si>
  <si>
    <t>GIB</t>
  </si>
  <si>
    <t>GRC</t>
  </si>
  <si>
    <t>Greenland</t>
  </si>
  <si>
    <t>GRL</t>
  </si>
  <si>
    <t>GRD</t>
  </si>
  <si>
    <t>Guadeloupe</t>
  </si>
  <si>
    <t>GLP</t>
  </si>
  <si>
    <t>Guam</t>
  </si>
  <si>
    <t>GUM</t>
  </si>
  <si>
    <t>GTM</t>
  </si>
  <si>
    <t>GIN</t>
  </si>
  <si>
    <t>GNB</t>
  </si>
  <si>
    <t>GUY</t>
  </si>
  <si>
    <t>HTI</t>
  </si>
  <si>
    <t>HND</t>
  </si>
  <si>
    <t>HUN</t>
  </si>
  <si>
    <t>ISL</t>
  </si>
  <si>
    <t>IND</t>
  </si>
  <si>
    <t>IDN</t>
  </si>
  <si>
    <t>Iran, Islamic Republic of</t>
  </si>
  <si>
    <t>IRN</t>
  </si>
  <si>
    <t>IRQ</t>
  </si>
  <si>
    <t>IRL</t>
  </si>
  <si>
    <t>Isle of Man</t>
  </si>
  <si>
    <t>IMN</t>
  </si>
  <si>
    <t>ISR</t>
  </si>
  <si>
    <t>ITA</t>
  </si>
  <si>
    <t>JAM</t>
  </si>
  <si>
    <t>JPN</t>
  </si>
  <si>
    <t>JOR</t>
  </si>
  <si>
    <t>KAZ</t>
  </si>
  <si>
    <t>KEN</t>
  </si>
  <si>
    <t>KIR</t>
  </si>
  <si>
    <t>Korea, Democratic People's Republic of</t>
  </si>
  <si>
    <t>PRK</t>
  </si>
  <si>
    <t>Korea, Republic of</t>
  </si>
  <si>
    <t>KOR</t>
  </si>
  <si>
    <t>KWT</t>
  </si>
  <si>
    <t>KGZ</t>
  </si>
  <si>
    <t>LAO</t>
  </si>
  <si>
    <t>LVA</t>
  </si>
  <si>
    <t>LBN</t>
  </si>
  <si>
    <t>LSO</t>
  </si>
  <si>
    <t>LBR</t>
  </si>
  <si>
    <t>Libyan Arab Jamahiriya</t>
  </si>
  <si>
    <t>LBY</t>
  </si>
  <si>
    <t>LIE</t>
  </si>
  <si>
    <t>LTU</t>
  </si>
  <si>
    <t>LUX</t>
  </si>
  <si>
    <t>MDG</t>
  </si>
  <si>
    <t>MWI</t>
  </si>
  <si>
    <t>MYS</t>
  </si>
  <si>
    <t>MDV</t>
  </si>
  <si>
    <t>MLI</t>
  </si>
  <si>
    <t>MLT</t>
  </si>
  <si>
    <t>MHL</t>
  </si>
  <si>
    <t>Martinique</t>
  </si>
  <si>
    <t>MTQ</t>
  </si>
  <si>
    <t>MRT</t>
  </si>
  <si>
    <t>MUS</t>
  </si>
  <si>
    <t>Mayotte</t>
  </si>
  <si>
    <t>MYT</t>
  </si>
  <si>
    <t>MEX</t>
  </si>
  <si>
    <t>Micronesia, Federated States of</t>
  </si>
  <si>
    <t>FSM</t>
  </si>
  <si>
    <t>MNG</t>
  </si>
  <si>
    <t>MNE</t>
  </si>
  <si>
    <t>Montserrat</t>
  </si>
  <si>
    <t>MSR</t>
  </si>
  <si>
    <t>MAR</t>
  </si>
  <si>
    <t>MOZ</t>
  </si>
  <si>
    <t>MMR</t>
  </si>
  <si>
    <t>NAM</t>
  </si>
  <si>
    <t>NRU</t>
  </si>
  <si>
    <t>NPL</t>
  </si>
  <si>
    <t>NLD</t>
  </si>
  <si>
    <t>New Caledonia</t>
  </si>
  <si>
    <t>NCL</t>
  </si>
  <si>
    <t>NZL</t>
  </si>
  <si>
    <t>NIC</t>
  </si>
  <si>
    <t>NER</t>
  </si>
  <si>
    <t>NGA</t>
  </si>
  <si>
    <t>Niue</t>
  </si>
  <si>
    <t>NIU</t>
  </si>
  <si>
    <t>MDA</t>
  </si>
  <si>
    <t>Northern Mariana Islands</t>
  </si>
  <si>
    <t>MNP</t>
  </si>
  <si>
    <t>NOR</t>
  </si>
  <si>
    <t>OMN</t>
  </si>
  <si>
    <t>PAK</t>
  </si>
  <si>
    <t>PLW</t>
  </si>
  <si>
    <t>PAN</t>
  </si>
  <si>
    <t>PNG</t>
  </si>
  <si>
    <t>PRY</t>
  </si>
  <si>
    <t>PER</t>
  </si>
  <si>
    <t>PHL</t>
  </si>
  <si>
    <t>POL</t>
  </si>
  <si>
    <t>PRT</t>
  </si>
  <si>
    <t>Puerto Rico</t>
  </si>
  <si>
    <t>PRI</t>
  </si>
  <si>
    <t>QAT</t>
  </si>
  <si>
    <t>Republic of North Macedonia</t>
  </si>
  <si>
    <t>MKD</t>
  </si>
  <si>
    <t>Réunion</t>
  </si>
  <si>
    <t>REU</t>
  </si>
  <si>
    <t>ROU</t>
  </si>
  <si>
    <t>RUS</t>
  </si>
  <si>
    <t>RWA</t>
  </si>
  <si>
    <t>Saint Barthélemy</t>
  </si>
  <si>
    <t>BLM</t>
  </si>
  <si>
    <t>Saint Helena, Ascension and Tristan da Cunha</t>
  </si>
  <si>
    <t>SHN</t>
  </si>
  <si>
    <t>KNA</t>
  </si>
  <si>
    <t>LCA</t>
  </si>
  <si>
    <t>Saint Pierre and Miquelon</t>
  </si>
  <si>
    <t>SPM</t>
  </si>
  <si>
    <t>Saint Vincent and Grenadines</t>
  </si>
  <si>
    <t>VCT</t>
  </si>
  <si>
    <t>Saint-Martin (French Part)</t>
  </si>
  <si>
    <t>MAF</t>
  </si>
  <si>
    <t>WSM</t>
  </si>
  <si>
    <t>STP</t>
  </si>
  <si>
    <t>SAU</t>
  </si>
  <si>
    <t>SEN</t>
  </si>
  <si>
    <t>SRB</t>
  </si>
  <si>
    <t>SYC</t>
  </si>
  <si>
    <t>SLE</t>
  </si>
  <si>
    <t>SGP</t>
  </si>
  <si>
    <t>Sint Maarten (Dutch Part)</t>
  </si>
  <si>
    <t>SXM</t>
  </si>
  <si>
    <t>SVK</t>
  </si>
  <si>
    <t>SVN</t>
  </si>
  <si>
    <t>SLB</t>
  </si>
  <si>
    <t>SOM</t>
  </si>
  <si>
    <t>ZAF</t>
  </si>
  <si>
    <t>SSD</t>
  </si>
  <si>
    <t>ESP</t>
  </si>
  <si>
    <t>LKA</t>
  </si>
  <si>
    <t>State of Palestine</t>
  </si>
  <si>
    <t>PSE</t>
  </si>
  <si>
    <t>X</t>
  </si>
  <si>
    <t>SDN</t>
  </si>
  <si>
    <t>SUR</t>
  </si>
  <si>
    <t>SWE</t>
  </si>
  <si>
    <t>CHE</t>
  </si>
  <si>
    <t>SYR</t>
  </si>
  <si>
    <t>TJK</t>
  </si>
  <si>
    <t>Tanzania, United Republic of</t>
  </si>
  <si>
    <t>TZA</t>
  </si>
  <si>
    <t>THA</t>
  </si>
  <si>
    <t>TLS</t>
  </si>
  <si>
    <t>TGO</t>
  </si>
  <si>
    <t>Tokelau</t>
  </si>
  <si>
    <t>TKL</t>
  </si>
  <si>
    <t>TON</t>
  </si>
  <si>
    <t>TTO</t>
  </si>
  <si>
    <t>TUN</t>
  </si>
  <si>
    <t>TUR</t>
  </si>
  <si>
    <t>TKM</t>
  </si>
  <si>
    <t>Turks and Caicos Islands</t>
  </si>
  <si>
    <t>TCA</t>
  </si>
  <si>
    <t>TUV</t>
  </si>
  <si>
    <t>UGA</t>
  </si>
  <si>
    <t>UKR</t>
  </si>
  <si>
    <t>ARE</t>
  </si>
  <si>
    <t>GBR</t>
  </si>
  <si>
    <t>United States of America</t>
  </si>
  <si>
    <t>USA</t>
  </si>
  <si>
    <t>URY</t>
  </si>
  <si>
    <t>US Virgin Islands</t>
  </si>
  <si>
    <t>VIR</t>
  </si>
  <si>
    <t>UZB</t>
  </si>
  <si>
    <t>VUT</t>
  </si>
  <si>
    <t>Venezuela, Bolivarian Republic of</t>
  </si>
  <si>
    <t>VEN</t>
  </si>
  <si>
    <t>VNM</t>
  </si>
  <si>
    <t>Wallis and Futuna Islands</t>
  </si>
  <si>
    <t>WLF</t>
  </si>
  <si>
    <t>Western Sahara</t>
  </si>
  <si>
    <t>ESH</t>
  </si>
  <si>
    <t>YEM</t>
  </si>
  <si>
    <t>ZMB</t>
  </si>
  <si>
    <t>ZWE</t>
  </si>
  <si>
    <t>Flow name</t>
  </si>
  <si>
    <t>Flow code</t>
  </si>
  <si>
    <t>Biomass (t), 2023</t>
  </si>
  <si>
    <t>Fossil fuels (t), 2023</t>
  </si>
  <si>
    <t>Metal ores (t), 2023</t>
  </si>
  <si>
    <t>Non-metallic minerals (t), 2023</t>
  </si>
  <si>
    <t>Material Footprint (RMC)</t>
  </si>
  <si>
    <t>MF</t>
  </si>
  <si>
    <t>Africa</t>
  </si>
  <si>
    <t>Asia + Pacific</t>
  </si>
  <si>
    <t>Cote d'Ivoire</t>
  </si>
  <si>
    <t>Czechoslovakia</t>
  </si>
  <si>
    <t>DR Congo</t>
  </si>
  <si>
    <t>EECCA</t>
  </si>
  <si>
    <t>Ethiopia (Former)</t>
  </si>
  <si>
    <t>Europe</t>
  </si>
  <si>
    <t>Hong Kong</t>
  </si>
  <si>
    <t>Iran</t>
  </si>
  <si>
    <t>Laos</t>
  </si>
  <si>
    <t>Latin America + Caribbean</t>
  </si>
  <si>
    <t>Moldova</t>
  </si>
  <si>
    <t>North America</t>
  </si>
  <si>
    <t>North Korea</t>
  </si>
  <si>
    <t>North Yemen</t>
  </si>
  <si>
    <t>Palestine</t>
  </si>
  <si>
    <t>Rep Congo</t>
  </si>
  <si>
    <t>Serbia (and Montenegro)</t>
  </si>
  <si>
    <t>South Korea</t>
  </si>
  <si>
    <t>South Yemen</t>
  </si>
  <si>
    <t>Sudan (Former)</t>
  </si>
  <si>
    <t>Syria</t>
  </si>
  <si>
    <t>Tanzania</t>
  </si>
  <si>
    <t>Turkey</t>
  </si>
  <si>
    <t>USSR</t>
  </si>
  <si>
    <t>Venezuela</t>
  </si>
  <si>
    <t>West Asia</t>
  </si>
  <si>
    <t>World</t>
  </si>
  <si>
    <t>Yugoslavia SFR</t>
  </si>
  <si>
    <t>UN Country Name</t>
  </si>
  <si>
    <t>MF (t/pp)</t>
  </si>
  <si>
    <t xml:space="preserve">HDI </t>
  </si>
  <si>
    <t>EFC (gha/pp)</t>
  </si>
  <si>
    <t>Korea</t>
  </si>
  <si>
    <t>MF Biomass (t/pp)</t>
  </si>
  <si>
    <t>MF Fossil fuels (t/pp)</t>
  </si>
  <si>
    <t>MF Metal ores (t/pp)</t>
  </si>
  <si>
    <t>MF Non-metallic minerals (t/pp)</t>
  </si>
  <si>
    <t>2008</t>
  </si>
  <si>
    <t>2009</t>
  </si>
  <si>
    <t>2010</t>
  </si>
  <si>
    <t>2011</t>
  </si>
  <si>
    <t>2012</t>
  </si>
  <si>
    <t>2013</t>
  </si>
  <si>
    <t>2014</t>
  </si>
  <si>
    <t>2015</t>
  </si>
  <si>
    <t>2016</t>
  </si>
  <si>
    <t>2017</t>
  </si>
  <si>
    <t>2018</t>
  </si>
  <si>
    <t>2019</t>
  </si>
  <si>
    <t>2020</t>
  </si>
  <si>
    <t>2021</t>
  </si>
  <si>
    <t>2022</t>
  </si>
  <si>
    <t>2023</t>
  </si>
  <si>
    <t>2024</t>
  </si>
  <si>
    <t>2025</t>
  </si>
  <si>
    <t>:</t>
  </si>
  <si>
    <t>ISO</t>
  </si>
  <si>
    <t>Data Visualization Workshop Dataset</t>
  </si>
  <si>
    <t>This Excel workbook was developed for the Data Visualization Workshop in Thematic Course 1 of the Governance of Sustainability MSc programme at Leiden University.
The workbook provides a curated collection of sustainability-related indicators that can be used to teach and practice data visualization techniques, dashboard development, data integration, and exploratory data analysis in spreadsheet software, Python, R, or other analytical tools.
The datasets have been selected to support the creation of sustainability dashboards and visualizations that explore relationships between human development and environmental pressures.</t>
  </si>
  <si>
    <t>Intended Audience</t>
  </si>
  <si>
    <t>* Students participating in the Data Visualization Workshop
* Instructors teaching sustainability data analysis and visualization
* Educators seeking example datasets for dashboard development exercises
* Researchers interested in introductory sustainability indicators</t>
  </si>
  <si>
    <t>Workbook Structure</t>
  </si>
  <si>
    <t>The worksheet names should not be changed, as they are referenced by an accompanying Jupyter Notebook used in the workshop.</t>
  </si>
  <si>
    <t>Ecological FP</t>
  </si>
  <si>
    <t>Ecological Footprint data for 2023.</t>
  </si>
  <si>
    <t>Key variables include measures of ecological footprint associated with national consumption patterns.</t>
  </si>
  <si>
    <t>Human Development Index (HDI) data for 2023.</t>
  </si>
  <si>
    <t>The HDI is a composite indicator that measures achievement in health, education, and standard of living.</t>
  </si>
  <si>
    <t>Material Footprint (Raw Material Consumption, RMC) data for 2023.</t>
  </si>
  <si>
    <t>This dataset contains indicators relating to domestic material consumption and resource use.</t>
  </si>
  <si>
    <t>Human Development Index</t>
  </si>
  <si>
    <t>Material FP</t>
  </si>
  <si>
    <t>EU_MF_tpc</t>
  </si>
  <si>
    <t>Data Source Sheets</t>
  </si>
  <si>
    <t>Analysis Sheets</t>
  </si>
  <si>
    <t>dataviz</t>
  </si>
  <si>
    <t>dataviz_simple</t>
  </si>
  <si>
    <t>This sheet serves as the primary dataset for workshop exercises and sustainability dashboard development.</t>
  </si>
  <si>
    <t xml:space="preserve">European Material Footprint (Raw Material Consumption, RMC) time-series data. </t>
  </si>
  <si>
    <t>This worksheet can be used for trend analysis and temporal visualizations.</t>
  </si>
  <si>
    <t>Data Processing</t>
  </si>
  <si>
    <t>The worksheets EFP, HDI, and MF contain 2023 observations extracted from their respective source databases.
The dataviz worksheet combines selected variables from these three datasets to facilitate cross-country comparison and dashboard construction.
The simpledataviz worksheet contains a reduced set of variables derived from the EFP and MF worksheets.
No claims are made regarding the suitability of these data for policy evaluation or official statistical reporting. Users should consult the original data providers for methodological details.</t>
  </si>
  <si>
    <t>Suggested Learning Activities</t>
  </si>
  <si>
    <t>This workbook can be used to:
* Build sustainability dashboards
* Create scatterplots exploring development and environmental pressure
* Develop interactive visualizations
* Practice data cleaning and integration
* Compare countries across sustainability indicators
* Explore relationships between human development, material consumption, and ecological footprint</t>
  </si>
  <si>
    <t>Citation</t>
  </si>
  <si>
    <t>Users should additionally cite the original data providers listed above.</t>
  </si>
  <si>
    <t xml:space="preserve">When using this workbook in teaching materials, presentations, or derivative works, please cite:
Logan, H.M. (2026). Data Visualization Workshop Dataset. Thematic Course 1. Governance of Sustainability MSc Programme. Leiden University. Leiden, NL. </t>
  </si>
  <si>
    <t>License</t>
  </si>
  <si>
    <t>This workbook and its accompanying teaching materials are licensed under the Creative Commons Attribution 4.0 International (CC BY 4.0) License unless otherwise noted.
Under this license, users are free to:
Share
Adapt
Redistribute
provided appropriate attribution is given.
Original data sources may be subject to their own licensing conditions. Users are responsible for verifying compliance with source-specific requirements.</t>
  </si>
  <si>
    <t>AI Use Declaration</t>
  </si>
  <si>
    <t>Contact</t>
  </si>
  <si>
    <t>For questions regarding the workshop materials, please contact the repository maintainer via github.</t>
  </si>
  <si>
    <t>Getting Started</t>
  </si>
  <si>
    <t>* Download the workbook.
* Open the accompanying Jupyter Notebook.
* Ensure the workbook is located in the same directory as the notebook.
* Run the notebook cells in sequence.
* Use the exercises to build sustainability visualizations and dashboards.</t>
  </si>
  <si>
    <t>Simplified dataset derived from:
 *EFP
* MF</t>
  </si>
  <si>
    <t>Integrated dataset combining variables from:
* Ecological Footprint (EFP)
* Human Development Index (HDI)
* Material Footprint (MF)</t>
  </si>
  <si>
    <t>This sheet is intended for introductory visualization exercises and simpler dashboard activities.</t>
  </si>
  <si>
    <r>
      <t xml:space="preserve">Lo, K., Basnet, N., Miller, E., Van Berkum, J. L., Srikanthalingam, B., Foley, B., Long, A., Toneva, P. D., Ermina, M., &amp; Klinkenberg, C. (2026). </t>
    </r>
    <r>
      <rPr>
        <i/>
        <sz val="11"/>
        <color theme="1"/>
        <rFont val="Aptos Narrow"/>
        <family val="2"/>
        <scheme val="minor"/>
      </rPr>
      <t>National Ecological Footprint and Biocapacity Accounts, 2026 Edition (1961-2025), Results and Metadata Version 1.0</t>
    </r>
    <r>
      <rPr>
        <sz val="11"/>
        <color theme="1"/>
        <rFont val="Aptos Narrow"/>
        <family val="2"/>
        <scheme val="minor"/>
      </rPr>
      <t>. Produced for the Footprint Data Foundation by researchers at York University and the University of Iceland. Available at https://fodafo.org/data/</t>
    </r>
  </si>
  <si>
    <r>
      <t xml:space="preserve">United Nations Development Programme (UNDP). (2025). </t>
    </r>
    <r>
      <rPr>
        <i/>
        <sz val="11"/>
        <color theme="1"/>
        <rFont val="Aptos Narrow"/>
        <family val="2"/>
        <scheme val="minor"/>
      </rPr>
      <t>Human Development Index (HDI) Dataset</t>
    </r>
    <r>
      <rPr>
        <sz val="11"/>
        <color theme="1"/>
        <rFont val="Aptos Narrow"/>
        <family val="2"/>
        <scheme val="minor"/>
      </rPr>
      <t>. Human Development Report Office. Available at: https://hdr.undp.org/data-center/human-development-index</t>
    </r>
  </si>
  <si>
    <r>
      <t xml:space="preserve">Eurostat. (2026). </t>
    </r>
    <r>
      <rPr>
        <i/>
        <sz val="11"/>
        <color theme="1"/>
        <rFont val="Aptos Narrow"/>
        <family val="2"/>
        <scheme val="minor"/>
      </rPr>
      <t>Material Footprint (Raw Material Consumption), dataset sdg_12_21</t>
    </r>
    <r>
      <rPr>
        <sz val="11"/>
        <color theme="1"/>
        <rFont val="Aptos Narrow"/>
        <family val="2"/>
        <scheme val="minor"/>
      </rPr>
      <t>. European Commission. DOI: 10.2908/sdg_12_21. Available at: https://ec.europa.eu/eurostat/databrowser/view/sdg_12_21/default/table?lang=en</t>
    </r>
  </si>
  <si>
    <t>Data Description</t>
  </si>
  <si>
    <t>Data Notes</t>
  </si>
  <si>
    <t>Data Source</t>
  </si>
  <si>
    <t>This Sheets Ecological FP, Human Development Index, Material FP, EU_MF_tpc, dataviz, and dataviz_simple was developed and cleaned without the assistance of AI. AI README was drafted with assistance from generative artificial intelligence (Microsoft Copilot/GPT-based tools) and subsequently reviewed and edited by the course instructor (H.M.Logan). AI assistance was used to support the organization, wording, and formatting of documentation. Responsibility for the accuracy of the content, data descriptions, and all educational materials remains with the repository maintainer.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</si>
</sst>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0"/>
    <numFmt numFmtId="165" formatCode="#,###,##0.000"/>
    <numFmt numFmtId="166" formatCode="#,###,##0.0"/>
    <numFmt numFmtId="167" formatCode="_-* #,##0_-;\-* #,##0_-;_-* &quot;-&quot;??_-;_-@_-"/>
    <numFmt numFmtId="168" formatCode="#,##0.##########"/>
  </numFmts>
  <fonts count="14" x14ac:knownFonts="1">
    <font>
      <sz val="11"/>
      <color theme="1"/>
      <name val="Aptos Narrow"/>
      <family val="2"/>
      <scheme val="minor"/>
    </font>
    <font>
      <sz val="11"/>
      <color theme="1"/>
      <name val="Aptos Narrow"/>
      <family val="2"/>
      <scheme val="minor"/>
    </font>
    <font>
      <sz val="10"/>
      <name val="Arial"/>
      <family val="2"/>
    </font>
    <font>
      <b/>
      <sz val="11"/>
      <name val="Arial"/>
      <family val="2"/>
    </font>
    <font>
      <b/>
      <sz val="11"/>
      <color indexed="9"/>
      <name val="Arial"/>
      <family val="2"/>
    </font>
    <font>
      <sz val="11"/>
      <name val="Arial"/>
      <family val="2"/>
    </font>
    <font>
      <b/>
      <sz val="11"/>
      <color theme="0"/>
      <name val="Aptos Narrow"/>
      <family val="2"/>
      <scheme val="minor"/>
    </font>
    <font>
      <b/>
      <sz val="9"/>
      <color indexed="9"/>
      <name val="Arial"/>
    </font>
    <font>
      <b/>
      <sz val="9"/>
      <name val="Arial"/>
    </font>
    <font>
      <sz val="9"/>
      <name val="Arial"/>
    </font>
    <font>
      <i/>
      <sz val="11"/>
      <color theme="1"/>
      <name val="Aptos Narrow"/>
      <family val="2"/>
      <scheme val="minor"/>
    </font>
    <font>
      <b/>
      <sz val="11"/>
      <color rgb="FF242424"/>
      <name val="Aptos Narrow"/>
      <family val="2"/>
      <scheme val="minor"/>
    </font>
    <font>
      <sz val="11"/>
      <color rgb="FF242424"/>
      <name val="Aptos Narrow"/>
      <family val="2"/>
      <scheme val="minor"/>
    </font>
    <font>
      <i/>
      <u/>
      <sz val="11"/>
      <color theme="1"/>
      <name val="Aptos Narrow"/>
      <family val="2"/>
      <scheme val="minor"/>
    </font>
  </fonts>
  <fills count="11">
    <fill>
      <patternFill patternType="none"/>
    </fill>
    <fill>
      <patternFill patternType="gray125"/>
    </fill>
    <fill>
      <patternFill patternType="solid">
        <fgColor indexed="62"/>
        <bgColor indexed="64"/>
      </patternFill>
    </fill>
    <fill>
      <patternFill patternType="solid">
        <fgColor theme="7" tint="0.59999389629810485"/>
        <bgColor indexed="64"/>
      </patternFill>
    </fill>
    <fill>
      <patternFill patternType="solid">
        <fgColor theme="1"/>
        <bgColor theme="1"/>
      </patternFill>
    </fill>
    <fill>
      <patternFill patternType="solid">
        <fgColor theme="5" tint="0.59999389629810485"/>
        <bgColor indexed="64"/>
      </patternFill>
    </fill>
    <fill>
      <patternFill patternType="solid">
        <fgColor rgb="FF4669AF"/>
      </patternFill>
    </fill>
    <fill>
      <patternFill patternType="solid">
        <fgColor rgb="FFDCE6F1"/>
      </patternFill>
    </fill>
    <fill>
      <patternFill patternType="solid">
        <fgColor rgb="FFF6F6F6"/>
      </patternFill>
    </fill>
    <fill>
      <patternFill patternType="solid">
        <fgColor theme="2"/>
        <bgColor indexed="64"/>
      </patternFill>
    </fill>
    <fill>
      <patternFill patternType="solid">
        <fgColor theme="2" tint="-0.249977111117893"/>
        <bgColor indexed="64"/>
      </patternFill>
    </fill>
  </fills>
  <borders count="29">
    <border>
      <left/>
      <right/>
      <top/>
      <bottom/>
      <diagonal/>
    </border>
    <border>
      <left/>
      <right/>
      <top style="thin">
        <color theme="1"/>
      </top>
      <bottom/>
      <diagonal/>
    </border>
    <border>
      <left/>
      <right style="thin">
        <color theme="1"/>
      </right>
      <top style="thin">
        <color theme="1"/>
      </top>
      <bottom/>
      <diagonal/>
    </border>
    <border>
      <left/>
      <right/>
      <top style="thin">
        <color theme="1"/>
      </top>
      <bottom style="thin">
        <color theme="1"/>
      </bottom>
      <diagonal/>
    </border>
    <border>
      <left/>
      <right style="thin">
        <color theme="1"/>
      </right>
      <top style="thin">
        <color theme="1"/>
      </top>
      <bottom style="thin">
        <color theme="1"/>
      </bottom>
      <diagonal/>
    </border>
    <border>
      <left/>
      <right style="thin">
        <color theme="1"/>
      </right>
      <top/>
      <bottom/>
      <diagonal/>
    </border>
    <border>
      <left style="thin">
        <color theme="1"/>
      </left>
      <right style="thin">
        <color theme="1"/>
      </right>
      <top/>
      <bottom/>
      <diagonal/>
    </border>
    <border>
      <left style="thin">
        <color theme="1"/>
      </left>
      <right/>
      <top style="thin">
        <color theme="1"/>
      </top>
      <bottom/>
      <diagonal/>
    </border>
    <border>
      <left style="thin">
        <color rgb="FFB0B0B0"/>
      </left>
      <right style="thin">
        <color rgb="FFB0B0B0"/>
      </right>
      <top style="thin">
        <color rgb="FFB0B0B0"/>
      </top>
      <bottom style="thin">
        <color rgb="FFB0B0B0"/>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s>
  <cellStyleXfs count="4">
    <xf numFmtId="0" fontId="0" fillId="0" borderId="0"/>
    <xf numFmtId="43" fontId="1" fillId="0" borderId="0" applyFont="0" applyFill="0" applyBorder="0" applyAlignment="0" applyProtection="0"/>
    <xf numFmtId="0" fontId="2" fillId="0" borderId="0" applyNumberFormat="0" applyFont="0" applyFill="0" applyBorder="0" applyAlignment="0" applyProtection="0"/>
    <xf numFmtId="0" fontId="2" fillId="0" borderId="0" applyNumberFormat="0" applyFont="0" applyFill="0" applyBorder="0" applyAlignment="0" applyProtection="0"/>
  </cellStyleXfs>
  <cellXfs count="62">
    <xf numFmtId="0" fontId="0" fillId="0" borderId="0" xfId="0"/>
    <xf numFmtId="167" fontId="0" fillId="0" borderId="0" xfId="1" applyNumberFormat="1" applyFont="1"/>
    <xf numFmtId="0" fontId="2" fillId="0" borderId="0" xfId="3"/>
    <xf numFmtId="0" fontId="3" fillId="0" borderId="0" xfId="3" applyNumberFormat="1" applyFont="1" applyFill="1" applyBorder="1" applyAlignment="1">
      <alignment horizontal="center" wrapText="1"/>
    </xf>
    <xf numFmtId="0" fontId="3" fillId="0" borderId="0" xfId="3" applyFont="1" applyAlignment="1">
      <alignment horizontal="center" vertical="center" wrapText="1"/>
    </xf>
    <xf numFmtId="0" fontId="3" fillId="0" borderId="0" xfId="3" applyFont="1" applyAlignment="1">
      <alignment horizontal="center" vertical="center"/>
    </xf>
    <xf numFmtId="0" fontId="4" fillId="2" borderId="0" xfId="3" applyFont="1" applyFill="1" applyAlignment="1">
      <alignment vertical="center"/>
    </xf>
    <xf numFmtId="164" fontId="5" fillId="0" borderId="0" xfId="3" applyNumberFormat="1" applyFont="1" applyFill="1" applyBorder="1" applyAlignment="1">
      <alignment horizontal="center"/>
    </xf>
    <xf numFmtId="0" fontId="5" fillId="0" borderId="0" xfId="3" applyNumberFormat="1" applyFont="1" applyFill="1" applyBorder="1" applyAlignment="1"/>
    <xf numFmtId="165" fontId="5" fillId="0" borderId="0" xfId="3" applyNumberFormat="1" applyFont="1" applyFill="1" applyBorder="1" applyAlignment="1">
      <alignment horizontal="center"/>
    </xf>
    <xf numFmtId="166" fontId="5" fillId="0" borderId="0" xfId="3" applyNumberFormat="1" applyFont="1" applyFill="1" applyBorder="1" applyAlignment="1">
      <alignment horizontal="center"/>
    </xf>
    <xf numFmtId="167" fontId="0" fillId="3" borderId="0" xfId="1" applyNumberFormat="1" applyFont="1" applyFill="1"/>
    <xf numFmtId="0" fontId="0" fillId="0" borderId="1" xfId="0" applyBorder="1"/>
    <xf numFmtId="0" fontId="0" fillId="0" borderId="2" xfId="0" applyBorder="1"/>
    <xf numFmtId="0" fontId="0" fillId="0" borderId="3" xfId="0" applyBorder="1"/>
    <xf numFmtId="0" fontId="0" fillId="0" borderId="4" xfId="0" applyBorder="1"/>
    <xf numFmtId="0" fontId="6" fillId="4" borderId="0" xfId="0" applyFont="1" applyFill="1"/>
    <xf numFmtId="0" fontId="6" fillId="4" borderId="5" xfId="0" applyFont="1" applyFill="1" applyBorder="1"/>
    <xf numFmtId="0" fontId="0" fillId="0" borderId="5" xfId="0" applyBorder="1"/>
    <xf numFmtId="0" fontId="6" fillId="4" borderId="6" xfId="0" applyFont="1" applyFill="1" applyBorder="1"/>
    <xf numFmtId="167" fontId="0" fillId="5" borderId="0" xfId="1" applyNumberFormat="1" applyFont="1" applyFill="1"/>
    <xf numFmtId="0" fontId="0" fillId="0" borderId="7" xfId="0" applyBorder="1"/>
    <xf numFmtId="165" fontId="5" fillId="0" borderId="5" xfId="3" applyNumberFormat="1" applyFont="1" applyFill="1" applyBorder="1" applyAlignment="1">
      <alignment horizontal="center"/>
    </xf>
    <xf numFmtId="0" fontId="7" fillId="6" borderId="8" xfId="0" applyFont="1" applyFill="1" applyBorder="1" applyAlignment="1">
      <alignment horizontal="right" vertical="center"/>
    </xf>
    <xf numFmtId="0" fontId="7" fillId="6" borderId="8" xfId="0" applyFont="1" applyFill="1" applyBorder="1" applyAlignment="1">
      <alignment horizontal="left" vertical="center"/>
    </xf>
    <xf numFmtId="0" fontId="8" fillId="7" borderId="8" xfId="0" applyFont="1" applyFill="1" applyBorder="1" applyAlignment="1">
      <alignment horizontal="left" vertical="center"/>
    </xf>
    <xf numFmtId="168" fontId="9" fillId="0" borderId="0" xfId="0" applyNumberFormat="1" applyFont="1" applyAlignment="1">
      <alignment horizontal="right" vertical="center" shrinkToFit="1"/>
    </xf>
    <xf numFmtId="168" fontId="9" fillId="8" borderId="0" xfId="0" applyNumberFormat="1" applyFont="1" applyFill="1" applyAlignment="1">
      <alignment horizontal="right" vertical="center" shrinkToFit="1"/>
    </xf>
    <xf numFmtId="3" fontId="9" fillId="0" borderId="0" xfId="0" applyNumberFormat="1" applyFont="1" applyAlignment="1">
      <alignment horizontal="right" vertical="center" shrinkToFit="1"/>
    </xf>
    <xf numFmtId="3" fontId="9" fillId="8" borderId="0" xfId="0" applyNumberFormat="1" applyFont="1" applyFill="1" applyAlignment="1">
      <alignment horizontal="right" vertical="center" shrinkToFit="1"/>
    </xf>
    <xf numFmtId="0" fontId="11" fillId="9" borderId="16" xfId="0" applyFont="1" applyFill="1" applyBorder="1" applyAlignment="1">
      <alignment vertical="top" wrapText="1"/>
    </xf>
    <xf numFmtId="0" fontId="11" fillId="9" borderId="17" xfId="0" applyFont="1" applyFill="1" applyBorder="1" applyAlignment="1">
      <alignment vertical="top" wrapText="1"/>
    </xf>
    <xf numFmtId="0" fontId="11" fillId="9" borderId="18" xfId="0" applyFont="1" applyFill="1" applyBorder="1" applyAlignment="1">
      <alignment vertical="top" wrapText="1"/>
    </xf>
    <xf numFmtId="0" fontId="0" fillId="0" borderId="0" xfId="0" applyFont="1" applyAlignment="1">
      <alignment vertical="top" wrapText="1"/>
    </xf>
    <xf numFmtId="0" fontId="0" fillId="0" borderId="11" xfId="0" applyFont="1" applyBorder="1" applyAlignment="1">
      <alignment vertical="top" wrapText="1"/>
    </xf>
    <xf numFmtId="0" fontId="0" fillId="0" borderId="0" xfId="0" applyFont="1" applyBorder="1" applyAlignment="1">
      <alignment vertical="top" wrapText="1"/>
    </xf>
    <xf numFmtId="0" fontId="0" fillId="0" borderId="12" xfId="0" applyFont="1" applyBorder="1" applyAlignment="1">
      <alignment vertical="top" wrapText="1"/>
    </xf>
    <xf numFmtId="0" fontId="0" fillId="0" borderId="11" xfId="0" applyFont="1" applyBorder="1" applyAlignment="1">
      <alignment vertical="top" wrapText="1"/>
    </xf>
    <xf numFmtId="0" fontId="0" fillId="0" borderId="0" xfId="0" applyFont="1" applyBorder="1" applyAlignment="1">
      <alignment vertical="top" wrapText="1"/>
    </xf>
    <xf numFmtId="0" fontId="0" fillId="0" borderId="12" xfId="0" applyFont="1" applyBorder="1" applyAlignment="1">
      <alignment vertical="top" wrapText="1"/>
    </xf>
    <xf numFmtId="0" fontId="10" fillId="0" borderId="11" xfId="0" applyFont="1" applyBorder="1" applyAlignment="1">
      <alignment vertical="top" wrapText="1"/>
    </xf>
    <xf numFmtId="0" fontId="10" fillId="0" borderId="0" xfId="0" applyFont="1" applyBorder="1" applyAlignment="1">
      <alignment vertical="top" wrapText="1"/>
    </xf>
    <xf numFmtId="0" fontId="10" fillId="0" borderId="12" xfId="0" applyFont="1" applyBorder="1" applyAlignment="1">
      <alignment vertical="top" wrapText="1"/>
    </xf>
    <xf numFmtId="0" fontId="10" fillId="0" borderId="11" xfId="0" applyFont="1" applyBorder="1" applyAlignment="1">
      <alignment vertical="top" wrapText="1"/>
    </xf>
    <xf numFmtId="0" fontId="10" fillId="10" borderId="9" xfId="0" applyFont="1" applyFill="1" applyBorder="1" applyAlignment="1">
      <alignment vertical="top" wrapText="1"/>
    </xf>
    <xf numFmtId="0" fontId="10" fillId="10" borderId="20" xfId="0" applyFont="1" applyFill="1" applyBorder="1" applyAlignment="1">
      <alignment vertical="top" wrapText="1"/>
    </xf>
    <xf numFmtId="0" fontId="10" fillId="10" borderId="10" xfId="0" applyFont="1" applyFill="1" applyBorder="1" applyAlignment="1">
      <alignment vertical="top" wrapText="1"/>
    </xf>
    <xf numFmtId="0" fontId="0" fillId="0" borderId="21" xfId="0" applyFont="1" applyBorder="1" applyAlignment="1">
      <alignment vertical="top" wrapText="1"/>
    </xf>
    <xf numFmtId="0" fontId="12" fillId="0" borderId="22" xfId="0" applyFont="1" applyBorder="1" applyAlignment="1">
      <alignment vertical="top" wrapText="1"/>
    </xf>
    <xf numFmtId="0" fontId="0" fillId="0" borderId="23" xfId="0" applyFont="1" applyBorder="1" applyAlignment="1">
      <alignment vertical="top" wrapText="1"/>
    </xf>
    <xf numFmtId="0" fontId="0" fillId="0" borderId="27" xfId="0" applyFont="1" applyBorder="1" applyAlignment="1">
      <alignment vertical="top" wrapText="1"/>
    </xf>
    <xf numFmtId="0" fontId="12" fillId="0" borderId="19" xfId="0" applyFont="1" applyBorder="1" applyAlignment="1">
      <alignment vertical="top" wrapText="1"/>
    </xf>
    <xf numFmtId="0" fontId="0" fillId="0" borderId="28" xfId="0" applyFont="1" applyBorder="1" applyAlignment="1">
      <alignment vertical="top" wrapText="1"/>
    </xf>
    <xf numFmtId="0" fontId="0" fillId="0" borderId="24" xfId="0" applyFont="1" applyBorder="1" applyAlignment="1">
      <alignment vertical="top" wrapText="1"/>
    </xf>
    <xf numFmtId="0" fontId="12" fillId="0" borderId="25" xfId="0" applyFont="1" applyBorder="1" applyAlignment="1">
      <alignment vertical="top" wrapText="1"/>
    </xf>
    <xf numFmtId="0" fontId="0" fillId="0" borderId="26" xfId="0" applyFont="1" applyBorder="1" applyAlignment="1">
      <alignment vertical="top" wrapText="1"/>
    </xf>
    <xf numFmtId="0" fontId="13" fillId="10" borderId="20" xfId="0" applyFont="1" applyFill="1" applyBorder="1" applyAlignment="1">
      <alignment vertical="top" wrapText="1"/>
    </xf>
    <xf numFmtId="0" fontId="0" fillId="0" borderId="22" xfId="0" applyFont="1" applyBorder="1" applyAlignment="1">
      <alignment vertical="top" wrapText="1"/>
    </xf>
    <xf numFmtId="0" fontId="0" fillId="0" borderId="25" xfId="0" applyFont="1" applyBorder="1" applyAlignment="1">
      <alignment vertical="top" wrapText="1"/>
    </xf>
    <xf numFmtId="0" fontId="12" fillId="0" borderId="13" xfId="0" applyFont="1" applyBorder="1" applyAlignment="1">
      <alignment vertical="top" wrapText="1"/>
    </xf>
    <xf numFmtId="0" fontId="12" fillId="0" borderId="14" xfId="0" applyFont="1" applyBorder="1" applyAlignment="1">
      <alignment vertical="top" wrapText="1"/>
    </xf>
    <xf numFmtId="0" fontId="12" fillId="0" borderId="15" xfId="0" applyFont="1" applyBorder="1" applyAlignment="1">
      <alignment vertical="top" wrapText="1"/>
    </xf>
  </cellXfs>
  <cellStyles count="4">
    <cellStyle name="Comma" xfId="1" builtinId="3"/>
    <cellStyle name="Normal" xfId="0" builtinId="0"/>
    <cellStyle name="Normal 2" xfId="3" xr:uid="{CD4BDDED-D0A2-4252-9C2D-F6CDA17C66AF}"/>
    <cellStyle name="Normal 3" xfId="2" xr:uid="{56E806CE-7540-42CC-8A76-FAE78F364E5F}"/>
  </cellStyles>
  <dxfs count="26">
    <dxf>
      <font>
        <b val="0"/>
        <i val="0"/>
        <strike val="0"/>
        <condense val="0"/>
        <extend val="0"/>
        <outline val="0"/>
        <shadow val="0"/>
        <u val="none"/>
        <vertAlign val="baseline"/>
        <sz val="11"/>
        <color theme="1"/>
        <name val="Aptos Narrow"/>
        <family val="2"/>
        <scheme val="minor"/>
      </font>
      <numFmt numFmtId="0" formatCode="General"/>
    </dxf>
    <dxf>
      <font>
        <b val="0"/>
        <i val="0"/>
        <strike val="0"/>
        <condense val="0"/>
        <extend val="0"/>
        <outline val="0"/>
        <shadow val="0"/>
        <u val="none"/>
        <vertAlign val="baseline"/>
        <sz val="11"/>
        <color theme="1"/>
        <name val="Aptos Narrow"/>
        <family val="2"/>
        <scheme val="minor"/>
      </font>
      <numFmt numFmtId="0" formatCode="General"/>
    </dxf>
    <dxf>
      <font>
        <b val="0"/>
        <i val="0"/>
        <strike val="0"/>
        <condense val="0"/>
        <extend val="0"/>
        <outline val="0"/>
        <shadow val="0"/>
        <u val="none"/>
        <vertAlign val="baseline"/>
        <sz val="11"/>
        <color theme="1"/>
        <name val="Aptos Narrow"/>
        <family val="2"/>
        <scheme val="minor"/>
      </font>
      <numFmt numFmtId="0" formatCode="General"/>
      <border diagonalUp="0" diagonalDown="0">
        <left/>
        <right style="thin">
          <color theme="1"/>
        </right>
        <top style="thin">
          <color theme="1"/>
        </top>
        <bottom/>
        <vertical/>
        <horizontal/>
      </border>
    </dxf>
    <dxf>
      <numFmt numFmtId="0" formatCode="General"/>
      <border diagonalUp="0" diagonalDown="0">
        <left/>
        <right style="thin">
          <color theme="1"/>
        </right>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style="thin">
          <color theme="1"/>
        </right>
        <top style="thin">
          <color theme="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style="thin">
          <color theme="1"/>
        </right>
        <top style="thin">
          <color theme="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style="thin">
          <color theme="1"/>
        </right>
        <top style="thin">
          <color theme="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style="thin">
          <color theme="1"/>
        </right>
        <top style="thin">
          <color theme="1"/>
        </top>
        <bottom/>
        <vertical/>
        <horizontal/>
      </border>
    </dxf>
    <dxf>
      <numFmt numFmtId="0" formatCode="General"/>
      <border diagonalUp="0" diagonalDown="0">
        <left/>
        <right/>
        <top style="thin">
          <color theme="1"/>
        </top>
        <bottom/>
        <vertical/>
        <horizontal/>
      </border>
    </dxf>
    <dxf>
      <border diagonalUp="0" diagonalDown="0">
        <left style="thin">
          <color theme="1"/>
        </left>
        <right/>
        <top style="thin">
          <color theme="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1"/>
        </top>
        <bottom/>
        <vertical/>
        <horizontal/>
      </border>
    </dxf>
    <dxf>
      <border outline="0">
        <left style="thin">
          <color theme="1"/>
        </left>
        <top style="thin">
          <color theme="1"/>
        </top>
      </border>
    </dxf>
    <dxf>
      <font>
        <b val="0"/>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0"/>
        <name val="Aptos Narrow"/>
        <family val="2"/>
        <scheme val="minor"/>
      </font>
      <fill>
        <patternFill patternType="solid">
          <fgColor theme="1"/>
          <bgColor theme="1"/>
        </patternFill>
      </fill>
      <border diagonalUp="0" diagonalDown="0" outline="0">
        <left style="thin">
          <color theme="1"/>
        </left>
        <right style="thin">
          <color theme="1"/>
        </right>
        <top/>
        <bottom/>
      </border>
    </dxf>
    <dxf>
      <font>
        <b val="0"/>
        <i val="0"/>
        <strike val="0"/>
        <condense val="0"/>
        <extend val="0"/>
        <outline val="0"/>
        <shadow val="0"/>
        <u val="none"/>
        <vertAlign val="baseline"/>
        <sz val="11"/>
        <color theme="1"/>
        <name val="Aptos Narrow"/>
        <family val="2"/>
        <scheme val="minor"/>
      </font>
      <border diagonalUp="0" diagonalDown="0">
        <left/>
        <right style="thin">
          <color theme="1"/>
        </right>
        <top style="thin">
          <color theme="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style="thin">
          <color theme="1"/>
        </right>
        <top style="thin">
          <color theme="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style="thin">
          <color theme="1"/>
        </right>
        <top style="thin">
          <color theme="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style="thin">
          <color theme="1"/>
        </right>
        <top style="thin">
          <color theme="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1"/>
        </top>
        <bottom/>
        <vertical/>
        <horizontal/>
      </border>
    </dxf>
    <dxf>
      <border outline="0">
        <left style="thin">
          <color theme="1"/>
        </left>
        <top style="thin">
          <color theme="1"/>
        </top>
      </border>
    </dxf>
    <dxf>
      <font>
        <b val="0"/>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0"/>
        <name val="Aptos Narrow"/>
        <family val="2"/>
        <scheme val="minor"/>
      </font>
      <fill>
        <patternFill patternType="solid">
          <fgColor theme="1"/>
          <bgColor theme="1"/>
        </patternFill>
      </fill>
      <border diagonalUp="0" diagonalDown="0" outline="0">
        <left style="thin">
          <color theme="1"/>
        </left>
        <right style="thin">
          <color theme="1"/>
        </right>
        <top/>
        <bottom/>
      </border>
    </dxf>
    <dxf>
      <numFmt numFmtId="0" formatCode="General"/>
    </dxf>
    <dxf>
      <font>
        <b val="0"/>
        <i val="0"/>
        <strike val="0"/>
        <condense val="0"/>
        <extend val="0"/>
        <outline val="0"/>
        <shadow val="0"/>
        <u val="none"/>
        <vertAlign val="baseline"/>
        <sz val="11"/>
        <color theme="1"/>
        <name val="Aptos Narrow"/>
        <family val="2"/>
        <scheme val="minor"/>
      </font>
      <numFmt numFmtId="167" formatCode="_-* #,##0_-;\-* #,##0_-;_-* &quot;-&quot;??_-;_-@_-"/>
      <fill>
        <patternFill patternType="solid">
          <fgColor indexed="64"/>
          <bgColor theme="5" tint="0.599993896298104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005FDAB-A290-42BB-9A67-15BC6E1F7503}" name="Table1" displayName="Table1" ref="A1:G229" totalsRowShown="0" headerRowDxfId="25" headerRowCellStyle="Comma">
  <autoFilter ref="A1:G229" xr:uid="{A005FDAB-A290-42BB-9A67-15BC6E1F7503}"/>
  <sortState xmlns:xlrd2="http://schemas.microsoft.com/office/spreadsheetml/2017/richdata2" ref="A2:G229">
    <sortCondition ref="A1:A229"/>
  </sortState>
  <tableColumns count="7">
    <tableColumn id="1" xr3:uid="{DD0175B5-458A-4B6F-B447-0C4E73E394A2}" name="country_name"/>
    <tableColumn id="2" xr3:uid="{D24F6D13-ECDD-4BBE-8E7C-58E01689C86D}" name="country_ISO3"/>
    <tableColumn id="3" xr3:uid="{A6265F39-4D28-4395-9D7D-6498C8ABE220}" name="year"/>
    <tableColumn id="4" xr3:uid="{9FF17AB7-DF3E-462E-A0CE-59DC1AFFD9A3}" name="flag"/>
    <tableColumn id="5" xr3:uid="{EC080020-0EB1-4A83-AF6C-42C17C31D3DB}" name="pop_1000_persons"/>
    <tableColumn id="11" xr3:uid="{E5EA7EFD-31EF-4FCA-BAEC-D16C24F0F723}" name="efc_total_gha, Ecological Footprint of Consumption, which is the nationally consumable product, which is derived as EFP + EFI - EFE"/>
    <tableColumn id="6" xr3:uid="{E15B0A2B-90DA-478F-93DC-1DA26E26B381}" name="EFC (gha PP)" dataDxfId="24">
      <calculatedColumnFormula>Table1[[#This Row],[efc_total_gha, Ecological Footprint of Consumption, which is the nationally consumable product, which is derived as EFP + EFI - EFE]]/(Table1[[#This Row],[pop_1000_persons]]*1000)</calculatedColumnFormula>
    </tableColumn>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F1A92D3-94B2-4590-AA09-C68037F182C5}" name="Table3" displayName="Table3" ref="A1:G176" totalsRowShown="0" headerRowDxfId="23" dataDxfId="22" tableBorderDxfId="21">
  <autoFilter ref="A1:G176" xr:uid="{6F1A92D3-94B2-4590-AA09-C68037F182C5}"/>
  <tableColumns count="7">
    <tableColumn id="1" xr3:uid="{BC475075-D55D-4655-A37A-BD1F1831A041}" name="Country" dataDxfId="20"/>
    <tableColumn id="2" xr3:uid="{C36FD676-6282-4BC6-ADBF-6D6840192DE8}" name="Flow name" dataDxfId="19"/>
    <tableColumn id="3" xr3:uid="{BFCF6C79-26D2-4C2B-9C87-9A9A87F29114}" name="Flow code" dataDxfId="18"/>
    <tableColumn id="4" xr3:uid="{A1FA35F2-36E0-4022-B965-3CD0FE38A031}" name="Biomass (t), 2023" dataDxfId="17"/>
    <tableColumn id="5" xr3:uid="{6D09FCAC-0C47-4950-8BDB-990B2273F36C}" name="Fossil fuels (t), 2023" dataDxfId="16"/>
    <tableColumn id="6" xr3:uid="{88BFF108-BC1E-4560-8798-A1DF776089D8}" name="Metal ores (t), 2023" dataDxfId="15"/>
    <tableColumn id="7" xr3:uid="{791C3F9A-E892-449C-B58D-45091B552388}" name="Non-metallic minerals (t), 2023" dataDxfId="14"/>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84C7AE9-E144-43BD-ABBF-26ABF85702EB}" name="Table33" displayName="Table33" ref="A1:K157" totalsRowShown="0" headerRowDxfId="13" dataDxfId="12" tableBorderDxfId="11">
  <autoFilter ref="A1:K157" xr:uid="{084C7AE9-E144-43BD-ABBF-26ABF85702EB}"/>
  <sortState xmlns:xlrd2="http://schemas.microsoft.com/office/spreadsheetml/2017/richdata2" ref="A2:K157">
    <sortCondition ref="A1:A157"/>
  </sortState>
  <tableColumns count="11">
    <tableColumn id="1" xr3:uid="{54980F7E-DFD6-4C0C-B344-C109085975EA}" name="Country" dataDxfId="10"/>
    <tableColumn id="9" xr3:uid="{5D369EC1-F93E-440A-BFCC-EE3E15A93236}" name="UN Country Name" dataDxfId="9"/>
    <tableColumn id="11" xr3:uid="{84247F4C-AEF8-4082-84B8-E7086331F531}" name="ISO" dataDxfId="8">
      <calculatedColumnFormula>_xlfn.XLOOKUP(Table33[[#This Row],[UN Country Name]],Table1[country_name],Table1[country_ISO3],"check")</calculatedColumnFormula>
    </tableColumn>
    <tableColumn id="4" xr3:uid="{B9CADAD7-630D-448D-BBB0-B51F61E7339B}" name="MF Biomass (t/pp)" dataDxfId="7"/>
    <tableColumn id="5" xr3:uid="{EC08CB0A-64E0-4EA3-B642-296B28A25923}" name="MF Fossil fuels (t/pp)" dataDxfId="6"/>
    <tableColumn id="6" xr3:uid="{92C87849-5B62-403C-861D-B204798B1730}" name="MF Metal ores (t/pp)" dataDxfId="5"/>
    <tableColumn id="7" xr3:uid="{195FE5CC-DE2E-4C41-B248-FB0CA4456BF0}" name="MF Non-metallic minerals (t/pp)" dataDxfId="4"/>
    <tableColumn id="3" xr3:uid="{EDA2E333-44D5-4780-9642-C257951627D2}" name="MF (t/pp)" dataDxfId="3"/>
    <tableColumn id="8" xr3:uid="{CB8A187C-8EED-4AC7-9270-1B1EA444A033}" name="HDI " dataDxfId="2"/>
    <tableColumn id="2" xr3:uid="{71C8C9C7-B203-4896-888D-C559A45F1851}" name="EFC (gha/pp)" dataDxfId="1"/>
    <tableColumn id="10" xr3:uid="{8FB71A14-5540-44F9-99CE-A9718FD51773}" name="pop_1000_persons" dataDxfId="0"/>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2A7640-10F5-4A77-A60D-026247904995}">
  <dimension ref="A1:D40"/>
  <sheetViews>
    <sheetView tabSelected="1" topLeftCell="A11" zoomScale="85" zoomScaleNormal="85" workbookViewId="0">
      <selection activeCell="E31" sqref="E31"/>
    </sheetView>
  </sheetViews>
  <sheetFormatPr defaultColWidth="62.140625" defaultRowHeight="15" x14ac:dyDescent="0.25"/>
  <cols>
    <col min="1" max="1" width="21.5703125" style="33" customWidth="1"/>
    <col min="2" max="2" width="24.7109375" style="33" customWidth="1"/>
    <col min="3" max="3" width="24.42578125" style="33" customWidth="1"/>
    <col min="4" max="4" width="40" style="33" customWidth="1"/>
    <col min="5" max="16384" width="62.140625" style="33"/>
  </cols>
  <sheetData>
    <row r="1" spans="1:4" ht="15.75" thickBot="1" x14ac:dyDescent="0.3">
      <c r="A1" s="30" t="s">
        <v>562</v>
      </c>
      <c r="B1" s="31"/>
      <c r="C1" s="31"/>
      <c r="D1" s="32"/>
    </row>
    <row r="2" spans="1:4" ht="138.75" customHeight="1" x14ac:dyDescent="0.25">
      <c r="A2" s="34" t="s">
        <v>563</v>
      </c>
      <c r="B2" s="35"/>
      <c r="C2" s="35"/>
      <c r="D2" s="36"/>
    </row>
    <row r="3" spans="1:4" ht="15.75" thickBot="1" x14ac:dyDescent="0.3">
      <c r="A3" s="37"/>
      <c r="B3" s="38"/>
      <c r="C3" s="38"/>
      <c r="D3" s="39"/>
    </row>
    <row r="4" spans="1:4" ht="15.75" thickBot="1" x14ac:dyDescent="0.3">
      <c r="A4" s="30" t="s">
        <v>564</v>
      </c>
      <c r="B4" s="31"/>
      <c r="C4" s="31"/>
      <c r="D4" s="32"/>
    </row>
    <row r="5" spans="1:4" ht="67.5" customHeight="1" x14ac:dyDescent="0.25">
      <c r="A5" s="34" t="s">
        <v>565</v>
      </c>
      <c r="B5" s="35"/>
      <c r="C5" s="35"/>
      <c r="D5" s="36"/>
    </row>
    <row r="6" spans="1:4" ht="15.75" thickBot="1" x14ac:dyDescent="0.3">
      <c r="A6" s="37"/>
      <c r="B6" s="38"/>
      <c r="C6" s="38"/>
      <c r="D6" s="39"/>
    </row>
    <row r="7" spans="1:4" ht="15.75" thickBot="1" x14ac:dyDescent="0.3">
      <c r="A7" s="30" t="s">
        <v>566</v>
      </c>
      <c r="B7" s="31"/>
      <c r="C7" s="31"/>
      <c r="D7" s="32"/>
    </row>
    <row r="8" spans="1:4" ht="19.5" customHeight="1" x14ac:dyDescent="0.25">
      <c r="A8" s="40" t="s">
        <v>567</v>
      </c>
      <c r="B8" s="41"/>
      <c r="C8" s="41"/>
      <c r="D8" s="42"/>
    </row>
    <row r="9" spans="1:4" ht="15.75" thickBot="1" x14ac:dyDescent="0.3">
      <c r="A9" s="43"/>
      <c r="B9" s="38"/>
      <c r="C9" s="38"/>
      <c r="D9" s="39"/>
    </row>
    <row r="10" spans="1:4" ht="15.75" thickBot="1" x14ac:dyDescent="0.3">
      <c r="A10" s="44" t="s">
        <v>578</v>
      </c>
      <c r="B10" s="45" t="s">
        <v>605</v>
      </c>
      <c r="C10" s="46" t="s">
        <v>606</v>
      </c>
      <c r="D10" s="45" t="s">
        <v>607</v>
      </c>
    </row>
    <row r="11" spans="1:4" ht="150" x14ac:dyDescent="0.25">
      <c r="A11" s="47" t="s">
        <v>568</v>
      </c>
      <c r="B11" s="48" t="s">
        <v>569</v>
      </c>
      <c r="C11" s="48" t="s">
        <v>570</v>
      </c>
      <c r="D11" s="49" t="s">
        <v>602</v>
      </c>
    </row>
    <row r="12" spans="1:4" ht="90" x14ac:dyDescent="0.25">
      <c r="A12" s="50" t="s">
        <v>575</v>
      </c>
      <c r="B12" s="51" t="s">
        <v>571</v>
      </c>
      <c r="C12" s="51" t="s">
        <v>572</v>
      </c>
      <c r="D12" s="52" t="s">
        <v>603</v>
      </c>
    </row>
    <row r="13" spans="1:4" ht="90" x14ac:dyDescent="0.25">
      <c r="A13" s="50" t="s">
        <v>576</v>
      </c>
      <c r="B13" s="51" t="s">
        <v>573</v>
      </c>
      <c r="C13" s="51" t="s">
        <v>574</v>
      </c>
      <c r="D13" s="52" t="s">
        <v>604</v>
      </c>
    </row>
    <row r="14" spans="1:4" ht="90.75" thickBot="1" x14ac:dyDescent="0.3">
      <c r="A14" s="53" t="s">
        <v>577</v>
      </c>
      <c r="B14" s="54" t="s">
        <v>583</v>
      </c>
      <c r="C14" s="54" t="s">
        <v>584</v>
      </c>
      <c r="D14" s="55" t="s">
        <v>604</v>
      </c>
    </row>
    <row r="15" spans="1:4" ht="15.75" thickBot="1" x14ac:dyDescent="0.3">
      <c r="A15" s="37"/>
      <c r="B15" s="38"/>
      <c r="C15" s="38"/>
      <c r="D15" s="39"/>
    </row>
    <row r="16" spans="1:4" ht="15.75" thickBot="1" x14ac:dyDescent="0.3">
      <c r="A16" s="56" t="s">
        <v>579</v>
      </c>
      <c r="B16" s="56" t="s">
        <v>605</v>
      </c>
      <c r="C16" s="56" t="s">
        <v>606</v>
      </c>
      <c r="D16" s="39"/>
    </row>
    <row r="17" spans="1:4" ht="105" x14ac:dyDescent="0.25">
      <c r="A17" s="47" t="s">
        <v>580</v>
      </c>
      <c r="B17" s="57" t="s">
        <v>600</v>
      </c>
      <c r="C17" s="57" t="s">
        <v>582</v>
      </c>
      <c r="D17" s="49"/>
    </row>
    <row r="18" spans="1:4" ht="60.75" thickBot="1" x14ac:dyDescent="0.3">
      <c r="A18" s="53" t="s">
        <v>581</v>
      </c>
      <c r="B18" s="58" t="s">
        <v>599</v>
      </c>
      <c r="C18" s="54" t="s">
        <v>601</v>
      </c>
      <c r="D18" s="55"/>
    </row>
    <row r="19" spans="1:4" ht="15.75" thickBot="1" x14ac:dyDescent="0.3">
      <c r="A19" s="37"/>
      <c r="B19" s="38"/>
      <c r="C19" s="38"/>
      <c r="D19" s="39"/>
    </row>
    <row r="20" spans="1:4" ht="15.75" thickBot="1" x14ac:dyDescent="0.3">
      <c r="A20" s="30" t="s">
        <v>597</v>
      </c>
      <c r="B20" s="31"/>
      <c r="C20" s="31"/>
      <c r="D20" s="32"/>
    </row>
    <row r="21" spans="1:4" ht="80.25" customHeight="1" x14ac:dyDescent="0.25">
      <c r="A21" s="34" t="s">
        <v>598</v>
      </c>
      <c r="B21" s="35"/>
      <c r="C21" s="35"/>
      <c r="D21" s="36"/>
    </row>
    <row r="22" spans="1:4" ht="15.75" thickBot="1" x14ac:dyDescent="0.3">
      <c r="A22" s="37"/>
      <c r="B22" s="38"/>
      <c r="C22" s="38"/>
      <c r="D22" s="39"/>
    </row>
    <row r="23" spans="1:4" ht="15.75" thickBot="1" x14ac:dyDescent="0.3">
      <c r="A23" s="30" t="s">
        <v>585</v>
      </c>
      <c r="B23" s="31"/>
      <c r="C23" s="31"/>
      <c r="D23" s="32"/>
    </row>
    <row r="24" spans="1:4" ht="133.5" customHeight="1" x14ac:dyDescent="0.25">
      <c r="A24" s="34" t="s">
        <v>586</v>
      </c>
      <c r="B24" s="35"/>
      <c r="C24" s="35"/>
      <c r="D24" s="36"/>
    </row>
    <row r="25" spans="1:4" ht="15.75" thickBot="1" x14ac:dyDescent="0.3">
      <c r="A25" s="37"/>
      <c r="B25" s="38"/>
      <c r="C25" s="38"/>
      <c r="D25" s="39"/>
    </row>
    <row r="26" spans="1:4" ht="15.75" thickBot="1" x14ac:dyDescent="0.3">
      <c r="A26" s="30" t="s">
        <v>587</v>
      </c>
      <c r="B26" s="31"/>
      <c r="C26" s="31"/>
      <c r="D26" s="32"/>
    </row>
    <row r="27" spans="1:4" ht="103.5" customHeight="1" x14ac:dyDescent="0.25">
      <c r="A27" s="34" t="s">
        <v>588</v>
      </c>
      <c r="B27" s="35"/>
      <c r="C27" s="35"/>
      <c r="D27" s="36"/>
    </row>
    <row r="28" spans="1:4" ht="15.75" thickBot="1" x14ac:dyDescent="0.3">
      <c r="A28" s="37"/>
      <c r="B28" s="38"/>
      <c r="C28" s="38"/>
      <c r="D28" s="39"/>
    </row>
    <row r="29" spans="1:4" ht="15.75" thickBot="1" x14ac:dyDescent="0.3">
      <c r="A29" s="30" t="s">
        <v>589</v>
      </c>
      <c r="B29" s="31"/>
      <c r="C29" s="31"/>
      <c r="D29" s="32"/>
    </row>
    <row r="30" spans="1:4" ht="65.25" customHeight="1" x14ac:dyDescent="0.25">
      <c r="A30" s="34" t="s">
        <v>591</v>
      </c>
      <c r="B30" s="35"/>
      <c r="C30" s="35"/>
      <c r="D30" s="36"/>
    </row>
    <row r="31" spans="1:4" ht="15.75" customHeight="1" x14ac:dyDescent="0.25">
      <c r="A31" s="34" t="s">
        <v>590</v>
      </c>
      <c r="B31" s="35"/>
      <c r="C31" s="35"/>
      <c r="D31" s="36"/>
    </row>
    <row r="32" spans="1:4" ht="15.75" thickBot="1" x14ac:dyDescent="0.3">
      <c r="A32" s="37"/>
      <c r="B32" s="38"/>
      <c r="C32" s="38"/>
      <c r="D32" s="39"/>
    </row>
    <row r="33" spans="1:4" ht="15.75" thickBot="1" x14ac:dyDescent="0.3">
      <c r="A33" s="30" t="s">
        <v>592</v>
      </c>
      <c r="B33" s="31"/>
      <c r="C33" s="31"/>
      <c r="D33" s="32"/>
    </row>
    <row r="34" spans="1:4" ht="185.25" customHeight="1" x14ac:dyDescent="0.25">
      <c r="A34" s="34" t="s">
        <v>593</v>
      </c>
      <c r="B34" s="35"/>
      <c r="C34" s="35"/>
      <c r="D34" s="36"/>
    </row>
    <row r="35" spans="1:4" ht="15.75" thickBot="1" x14ac:dyDescent="0.3">
      <c r="A35" s="37"/>
      <c r="B35" s="38"/>
      <c r="C35" s="38"/>
      <c r="D35" s="39"/>
    </row>
    <row r="36" spans="1:4" ht="15.75" thickBot="1" x14ac:dyDescent="0.3">
      <c r="A36" s="30" t="s">
        <v>594</v>
      </c>
      <c r="B36" s="31"/>
      <c r="C36" s="31"/>
      <c r="D36" s="32"/>
    </row>
    <row r="37" spans="1:4" ht="76.5" customHeight="1" x14ac:dyDescent="0.25">
      <c r="A37" s="34" t="s">
        <v>608</v>
      </c>
      <c r="B37" s="35"/>
      <c r="C37" s="35"/>
      <c r="D37" s="36"/>
    </row>
    <row r="38" spans="1:4" ht="15.75" thickBot="1" x14ac:dyDescent="0.3">
      <c r="A38" s="37"/>
      <c r="B38" s="38"/>
      <c r="C38" s="38"/>
      <c r="D38" s="39"/>
    </row>
    <row r="39" spans="1:4" ht="15.75" thickBot="1" x14ac:dyDescent="0.3">
      <c r="A39" s="30" t="s">
        <v>595</v>
      </c>
      <c r="B39" s="31"/>
      <c r="C39" s="31"/>
      <c r="D39" s="32"/>
    </row>
    <row r="40" spans="1:4" ht="17.25" customHeight="1" thickBot="1" x14ac:dyDescent="0.3">
      <c r="A40" s="59" t="s">
        <v>596</v>
      </c>
      <c r="B40" s="60"/>
      <c r="C40" s="60"/>
      <c r="D40" s="61"/>
    </row>
  </sheetData>
  <mergeCells count="21">
    <mergeCell ref="A39:D39"/>
    <mergeCell ref="A40:D40"/>
    <mergeCell ref="A29:D29"/>
    <mergeCell ref="A30:D30"/>
    <mergeCell ref="A31:D31"/>
    <mergeCell ref="A34:D34"/>
    <mergeCell ref="A33:D33"/>
    <mergeCell ref="A37:D37"/>
    <mergeCell ref="A36:D36"/>
    <mergeCell ref="A20:D20"/>
    <mergeCell ref="A21:D21"/>
    <mergeCell ref="A23:D23"/>
    <mergeCell ref="A24:D24"/>
    <mergeCell ref="A27:D27"/>
    <mergeCell ref="A26:D26"/>
    <mergeCell ref="A2:D2"/>
    <mergeCell ref="A5:D5"/>
    <mergeCell ref="A8:D8"/>
    <mergeCell ref="A7:D7"/>
    <mergeCell ref="A4:D4"/>
    <mergeCell ref="A1:D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E07B5B-3A04-4D1D-80A3-0A5929D9AE11}">
  <sheetPr>
    <tabColor theme="9"/>
  </sheetPr>
  <dimension ref="A1:G229"/>
  <sheetViews>
    <sheetView topLeftCell="A94" workbookViewId="0">
      <selection activeCell="B1" sqref="B1:B1048576"/>
    </sheetView>
  </sheetViews>
  <sheetFormatPr defaultRowHeight="15" x14ac:dyDescent="0.25"/>
  <cols>
    <col min="1" max="1" width="14.28515625" customWidth="1"/>
    <col min="2" max="2" width="13.42578125" customWidth="1"/>
    <col min="5" max="5" width="19.28515625" customWidth="1"/>
    <col min="6" max="6" width="14.85546875" customWidth="1"/>
  </cols>
  <sheetData>
    <row r="1" spans="1:7" x14ac:dyDescent="0.25">
      <c r="A1" t="s">
        <v>204</v>
      </c>
      <c r="B1" t="s">
        <v>205</v>
      </c>
      <c r="C1" t="s">
        <v>206</v>
      </c>
      <c r="D1" t="s">
        <v>207</v>
      </c>
      <c r="E1" s="1" t="s">
        <v>208</v>
      </c>
      <c r="F1" s="11" t="s">
        <v>209</v>
      </c>
      <c r="G1" s="20" t="s">
        <v>210</v>
      </c>
    </row>
    <row r="2" spans="1:7" x14ac:dyDescent="0.25">
      <c r="A2" t="s">
        <v>191</v>
      </c>
      <c r="B2" t="s">
        <v>211</v>
      </c>
      <c r="C2">
        <v>2023</v>
      </c>
      <c r="D2" t="s">
        <v>212</v>
      </c>
      <c r="E2">
        <v>41454.800000000003</v>
      </c>
      <c r="F2">
        <v>33942650</v>
      </c>
      <c r="G2">
        <f>Table1[[#This Row],[efc_total_gha, Ecological Footprint of Consumption, which is the nationally consumable product, which is derived as EFP + EFI - EFE]]/(Table1[[#This Row],[pop_1000_persons]]*1000)</f>
        <v>0.81878696797475803</v>
      </c>
    </row>
    <row r="3" spans="1:7" x14ac:dyDescent="0.25">
      <c r="A3" t="s">
        <v>78</v>
      </c>
      <c r="B3" t="s">
        <v>213</v>
      </c>
      <c r="C3">
        <v>2023</v>
      </c>
      <c r="D3" t="s">
        <v>214</v>
      </c>
      <c r="E3">
        <v>2811.66</v>
      </c>
      <c r="F3">
        <v>6368264</v>
      </c>
      <c r="G3">
        <f>Table1[[#This Row],[efc_total_gha, Ecological Footprint of Consumption, which is the nationally consumable product, which is derived as EFP + EFI - EFE]]/(Table1[[#This Row],[pop_1000_persons]]*1000)</f>
        <v>2.2649481089463164</v>
      </c>
    </row>
    <row r="4" spans="1:7" x14ac:dyDescent="0.25">
      <c r="A4" t="s">
        <v>104</v>
      </c>
      <c r="B4" t="s">
        <v>215</v>
      </c>
      <c r="C4">
        <v>2023</v>
      </c>
      <c r="D4" t="s">
        <v>216</v>
      </c>
      <c r="E4">
        <v>46164.2</v>
      </c>
      <c r="G4">
        <f>Table1[[#This Row],[efc_total_gha, Ecological Footprint of Consumption, which is the nationally consumable product, which is derived as EFP + EFI - EFE]]/(Table1[[#This Row],[pop_1000_persons]]*1000)</f>
        <v>0</v>
      </c>
    </row>
    <row r="5" spans="1:7" x14ac:dyDescent="0.25">
      <c r="A5" t="s">
        <v>217</v>
      </c>
      <c r="B5" t="s">
        <v>218</v>
      </c>
      <c r="C5">
        <v>2023</v>
      </c>
      <c r="D5" t="s">
        <v>219</v>
      </c>
      <c r="E5">
        <v>47.521000000000001</v>
      </c>
      <c r="G5">
        <f>Table1[[#This Row],[efc_total_gha, Ecological Footprint of Consumption, which is the nationally consumable product, which is derived as EFP + EFI - EFE]]/(Table1[[#This Row],[pop_1000_persons]]*1000)</f>
        <v>0</v>
      </c>
    </row>
    <row r="6" spans="1:7" x14ac:dyDescent="0.25">
      <c r="A6" t="s">
        <v>39</v>
      </c>
      <c r="B6" t="s">
        <v>220</v>
      </c>
      <c r="C6">
        <v>2023</v>
      </c>
      <c r="D6" t="s">
        <v>219</v>
      </c>
      <c r="E6">
        <v>80.855999999999995</v>
      </c>
      <c r="G6">
        <f>Table1[[#This Row],[efc_total_gha, Ecological Footprint of Consumption, which is the nationally consumable product, which is derived as EFP + EFI - EFE]]/(Table1[[#This Row],[pop_1000_persons]]*1000)</f>
        <v>0</v>
      </c>
    </row>
    <row r="7" spans="1:7" x14ac:dyDescent="0.25">
      <c r="A7" t="s">
        <v>157</v>
      </c>
      <c r="B7" t="s">
        <v>221</v>
      </c>
      <c r="C7">
        <v>2023</v>
      </c>
      <c r="D7" t="s">
        <v>214</v>
      </c>
      <c r="E7">
        <v>36749.9</v>
      </c>
      <c r="F7">
        <v>27582292</v>
      </c>
      <c r="G7">
        <f>Table1[[#This Row],[efc_total_gha, Ecological Footprint of Consumption, which is the nationally consumable product, which is derived as EFP + EFI - EFE]]/(Table1[[#This Row],[pop_1000_persons]]*1000)</f>
        <v>0.75054060011047652</v>
      </c>
    </row>
    <row r="8" spans="1:7" x14ac:dyDescent="0.25">
      <c r="A8" t="s">
        <v>222</v>
      </c>
      <c r="B8" t="s">
        <v>223</v>
      </c>
      <c r="C8">
        <v>2023</v>
      </c>
      <c r="D8" t="s">
        <v>219</v>
      </c>
      <c r="E8">
        <v>14.41</v>
      </c>
      <c r="G8">
        <f>Table1[[#This Row],[efc_total_gha, Ecological Footprint of Consumption, which is the nationally consumable product, which is derived as EFP + EFI - EFE]]/(Table1[[#This Row],[pop_1000_persons]]*1000)</f>
        <v>0</v>
      </c>
    </row>
    <row r="9" spans="1:7" x14ac:dyDescent="0.25">
      <c r="A9" t="s">
        <v>60</v>
      </c>
      <c r="B9" t="s">
        <v>224</v>
      </c>
      <c r="C9">
        <v>2023</v>
      </c>
      <c r="D9" t="s">
        <v>212</v>
      </c>
      <c r="E9">
        <v>93.316000000000003</v>
      </c>
      <c r="F9">
        <v>463145</v>
      </c>
      <c r="G9">
        <f>Table1[[#This Row],[efc_total_gha, Ecological Footprint of Consumption, which is the nationally consumable product, which is derived as EFP + EFI - EFE]]/(Table1[[#This Row],[pop_1000_persons]]*1000)</f>
        <v>4.9631895923528653</v>
      </c>
    </row>
    <row r="10" spans="1:7" x14ac:dyDescent="0.25">
      <c r="A10" t="s">
        <v>54</v>
      </c>
      <c r="B10" t="s">
        <v>225</v>
      </c>
      <c r="C10">
        <v>2023</v>
      </c>
      <c r="D10" t="s">
        <v>212</v>
      </c>
      <c r="E10">
        <v>45538.400000000001</v>
      </c>
      <c r="F10">
        <v>127814037</v>
      </c>
      <c r="G10">
        <f>Table1[[#This Row],[efc_total_gha, Ecological Footprint of Consumption, which is the nationally consumable product, which is derived as EFP + EFI - EFE]]/(Table1[[#This Row],[pop_1000_persons]]*1000)</f>
        <v>2.8067309567310228</v>
      </c>
    </row>
    <row r="11" spans="1:7" x14ac:dyDescent="0.25">
      <c r="A11" t="s">
        <v>76</v>
      </c>
      <c r="B11" t="s">
        <v>226</v>
      </c>
      <c r="C11">
        <v>2023</v>
      </c>
      <c r="D11" t="s">
        <v>216</v>
      </c>
      <c r="E11">
        <v>2943.39</v>
      </c>
      <c r="G11">
        <f>Table1[[#This Row],[efc_total_gha, Ecological Footprint of Consumption, which is the nationally consumable product, which is derived as EFP + EFI - EFE]]/(Table1[[#This Row],[pop_1000_persons]]*1000)</f>
        <v>0</v>
      </c>
    </row>
    <row r="12" spans="1:7" x14ac:dyDescent="0.25">
      <c r="A12" t="s">
        <v>227</v>
      </c>
      <c r="B12" t="s">
        <v>228</v>
      </c>
      <c r="C12">
        <v>2023</v>
      </c>
      <c r="D12" t="s">
        <v>219</v>
      </c>
      <c r="E12">
        <v>107.93899999999999</v>
      </c>
      <c r="G12">
        <f>Table1[[#This Row],[efc_total_gha, Ecological Footprint of Consumption, which is the nationally consumable product, which is derived as EFP + EFI - EFE]]/(Table1[[#This Row],[pop_1000_persons]]*1000)</f>
        <v>0</v>
      </c>
    </row>
    <row r="13" spans="1:7" x14ac:dyDescent="0.25">
      <c r="A13" t="s">
        <v>14</v>
      </c>
      <c r="B13" t="s">
        <v>229</v>
      </c>
      <c r="C13">
        <v>2023</v>
      </c>
      <c r="D13" t="s">
        <v>216</v>
      </c>
      <c r="E13">
        <v>26451.1</v>
      </c>
      <c r="G13">
        <f>Table1[[#This Row],[efc_total_gha, Ecological Footprint of Consumption, which is the nationally consumable product, which is derived as EFP + EFI - EFE]]/(Table1[[#This Row],[pop_1000_persons]]*1000)</f>
        <v>0</v>
      </c>
    </row>
    <row r="14" spans="1:7" x14ac:dyDescent="0.25">
      <c r="A14" t="s">
        <v>29</v>
      </c>
      <c r="B14" t="s">
        <v>230</v>
      </c>
      <c r="C14">
        <v>2023</v>
      </c>
      <c r="D14" t="s">
        <v>212</v>
      </c>
      <c r="E14">
        <v>9130.43</v>
      </c>
      <c r="F14">
        <v>50111325</v>
      </c>
      <c r="G14">
        <f>Table1[[#This Row],[efc_total_gha, Ecological Footprint of Consumption, which is the nationally consumable product, which is derived as EFP + EFI - EFE]]/(Table1[[#This Row],[pop_1000_persons]]*1000)</f>
        <v>5.4883860891546181</v>
      </c>
    </row>
    <row r="15" spans="1:7" x14ac:dyDescent="0.25">
      <c r="A15" t="s">
        <v>89</v>
      </c>
      <c r="B15" t="s">
        <v>231</v>
      </c>
      <c r="C15">
        <v>2023</v>
      </c>
      <c r="D15" t="s">
        <v>216</v>
      </c>
      <c r="E15">
        <v>10318.200000000001</v>
      </c>
      <c r="G15">
        <f>Table1[[#This Row],[efc_total_gha, Ecological Footprint of Consumption, which is the nationally consumable product, which is derived as EFP + EFI - EFE]]/(Table1[[#This Row],[pop_1000_persons]]*1000)</f>
        <v>0</v>
      </c>
    </row>
    <row r="16" spans="1:7" x14ac:dyDescent="0.25">
      <c r="A16" t="s">
        <v>73</v>
      </c>
      <c r="B16" t="s">
        <v>232</v>
      </c>
      <c r="C16">
        <v>2023</v>
      </c>
      <c r="D16" t="s">
        <v>216</v>
      </c>
      <c r="E16">
        <v>399.44</v>
      </c>
      <c r="G16">
        <f>Table1[[#This Row],[efc_total_gha, Ecological Footprint of Consumption, which is the nationally consumable product, which is derived as EFP + EFI - EFE]]/(Table1[[#This Row],[pop_1000_persons]]*1000)</f>
        <v>0</v>
      </c>
    </row>
    <row r="17" spans="1:7" x14ac:dyDescent="0.25">
      <c r="A17" t="s">
        <v>45</v>
      </c>
      <c r="B17" t="s">
        <v>233</v>
      </c>
      <c r="C17">
        <v>2023</v>
      </c>
      <c r="D17" t="s">
        <v>216</v>
      </c>
      <c r="E17">
        <v>1569.67</v>
      </c>
      <c r="G17">
        <f>Table1[[#This Row],[efc_total_gha, Ecological Footprint of Consumption, which is the nationally consumable product, which is derived as EFP + EFI - EFE]]/(Table1[[#This Row],[pop_1000_persons]]*1000)</f>
        <v>0</v>
      </c>
    </row>
    <row r="18" spans="1:7" x14ac:dyDescent="0.25">
      <c r="A18" t="s">
        <v>139</v>
      </c>
      <c r="B18" t="s">
        <v>234</v>
      </c>
      <c r="C18">
        <v>2023</v>
      </c>
      <c r="D18" t="s">
        <v>212</v>
      </c>
      <c r="E18">
        <v>171467</v>
      </c>
      <c r="F18">
        <v>157927752</v>
      </c>
      <c r="G18">
        <f>Table1[[#This Row],[efc_total_gha, Ecological Footprint of Consumption, which is the nationally consumable product, which is derived as EFP + EFI - EFE]]/(Table1[[#This Row],[pop_1000_persons]]*1000)</f>
        <v>0.92103875381268696</v>
      </c>
    </row>
    <row r="19" spans="1:7" x14ac:dyDescent="0.25">
      <c r="A19" t="s">
        <v>77</v>
      </c>
      <c r="B19" t="s">
        <v>235</v>
      </c>
      <c r="C19">
        <v>2023</v>
      </c>
      <c r="D19" t="s">
        <v>212</v>
      </c>
      <c r="E19">
        <v>282.33600000000001</v>
      </c>
      <c r="F19">
        <v>1180809</v>
      </c>
      <c r="G19">
        <f>Table1[[#This Row],[efc_total_gha, Ecological Footprint of Consumption, which is the nationally consumable product, which is derived as EFP + EFI - EFE]]/(Table1[[#This Row],[pop_1000_persons]]*1000)</f>
        <v>4.1822828119687179</v>
      </c>
    </row>
    <row r="20" spans="1:7" x14ac:dyDescent="0.25">
      <c r="A20" t="s">
        <v>72</v>
      </c>
      <c r="B20" t="s">
        <v>236</v>
      </c>
      <c r="C20">
        <v>2023</v>
      </c>
      <c r="D20" t="s">
        <v>212</v>
      </c>
      <c r="E20">
        <v>9115.68</v>
      </c>
      <c r="F20">
        <v>37421829</v>
      </c>
      <c r="G20">
        <f>Table1[[#This Row],[efc_total_gha, Ecological Footprint of Consumption, which is the nationally consumable product, which is derived as EFP + EFI - EFE]]/(Table1[[#This Row],[pop_1000_persons]]*1000)</f>
        <v>4.1052152993523245</v>
      </c>
    </row>
    <row r="21" spans="1:7" x14ac:dyDescent="0.25">
      <c r="A21" t="s">
        <v>17</v>
      </c>
      <c r="B21" t="s">
        <v>237</v>
      </c>
      <c r="C21">
        <v>2023</v>
      </c>
      <c r="D21" t="s">
        <v>212</v>
      </c>
      <c r="E21">
        <v>11712.9</v>
      </c>
      <c r="F21">
        <v>60094424</v>
      </c>
      <c r="G21">
        <f>Table1[[#This Row],[efc_total_gha, Ecological Footprint of Consumption, which is the nationally consumable product, which is derived as EFP + EFI - EFE]]/(Table1[[#This Row],[pop_1000_persons]]*1000)</f>
        <v>5.1306187195314568</v>
      </c>
    </row>
    <row r="22" spans="1:7" x14ac:dyDescent="0.25">
      <c r="A22" t="s">
        <v>123</v>
      </c>
      <c r="B22" t="s">
        <v>238</v>
      </c>
      <c r="C22">
        <v>2023</v>
      </c>
      <c r="D22" t="s">
        <v>219</v>
      </c>
      <c r="E22">
        <v>411.10599999999999</v>
      </c>
      <c r="G22">
        <f>Table1[[#This Row],[efc_total_gha, Ecological Footprint of Consumption, which is the nationally consumable product, which is derived as EFP + EFI - EFE]]/(Table1[[#This Row],[pop_1000_persons]]*1000)</f>
        <v>0</v>
      </c>
    </row>
    <row r="23" spans="1:7" x14ac:dyDescent="0.25">
      <c r="A23" t="s">
        <v>183</v>
      </c>
      <c r="B23" t="s">
        <v>239</v>
      </c>
      <c r="C23">
        <v>2023</v>
      </c>
      <c r="D23" t="s">
        <v>212</v>
      </c>
      <c r="E23">
        <v>14111</v>
      </c>
      <c r="F23">
        <v>15562657</v>
      </c>
      <c r="G23">
        <f>Table1[[#This Row],[efc_total_gha, Ecological Footprint of Consumption, which is the nationally consumable product, which is derived as EFP + EFI - EFE]]/(Table1[[#This Row],[pop_1000_persons]]*1000)</f>
        <v>1.1028741407412657</v>
      </c>
    </row>
    <row r="24" spans="1:7" x14ac:dyDescent="0.25">
      <c r="A24" t="s">
        <v>240</v>
      </c>
      <c r="B24" t="s">
        <v>241</v>
      </c>
      <c r="C24">
        <v>2023</v>
      </c>
      <c r="D24" t="s">
        <v>219</v>
      </c>
      <c r="E24">
        <v>64.697999999999993</v>
      </c>
      <c r="G24">
        <f>Table1[[#This Row],[efc_total_gha, Ecological Footprint of Consumption, which is the nationally consumable product, which is derived as EFP + EFI - EFE]]/(Table1[[#This Row],[pop_1000_persons]]*1000)</f>
        <v>0</v>
      </c>
    </row>
    <row r="25" spans="1:7" x14ac:dyDescent="0.25">
      <c r="A25" t="s">
        <v>134</v>
      </c>
      <c r="B25" t="s">
        <v>242</v>
      </c>
      <c r="C25">
        <v>2023</v>
      </c>
      <c r="D25" t="s">
        <v>212</v>
      </c>
      <c r="E25">
        <v>786.38499999999999</v>
      </c>
      <c r="F25">
        <v>3804937</v>
      </c>
      <c r="G25">
        <f>Table1[[#This Row],[efc_total_gha, Ecological Footprint of Consumption, which is the nationally consumable product, which is derived as EFP + EFI - EFE]]/(Table1[[#This Row],[pop_1000_persons]]*1000)</f>
        <v>4.8385167570592014</v>
      </c>
    </row>
    <row r="26" spans="1:7" x14ac:dyDescent="0.25">
      <c r="A26" t="s">
        <v>243</v>
      </c>
      <c r="B26" t="s">
        <v>244</v>
      </c>
      <c r="C26">
        <v>2023</v>
      </c>
      <c r="D26" t="s">
        <v>212</v>
      </c>
      <c r="E26">
        <v>12244.2</v>
      </c>
      <c r="F26">
        <v>32664842</v>
      </c>
      <c r="G26">
        <f>Table1[[#This Row],[efc_total_gha, Ecological Footprint of Consumption, which is the nationally consumable product, which is derived as EFP + EFI - EFE]]/(Table1[[#This Row],[pop_1000_persons]]*1000)</f>
        <v>2.6677808268404632</v>
      </c>
    </row>
    <row r="27" spans="1:7" x14ac:dyDescent="0.25">
      <c r="A27" t="s">
        <v>245</v>
      </c>
      <c r="B27" t="s">
        <v>246</v>
      </c>
      <c r="C27">
        <v>2023</v>
      </c>
      <c r="D27" t="s">
        <v>219</v>
      </c>
      <c r="E27">
        <v>29.898</v>
      </c>
      <c r="G27">
        <f>Table1[[#This Row],[efc_total_gha, Ecological Footprint of Consumption, which is the nationally consumable product, which is derived as EFP + EFI - EFE]]/(Table1[[#This Row],[pop_1000_persons]]*1000)</f>
        <v>0</v>
      </c>
    </row>
    <row r="28" spans="1:7" x14ac:dyDescent="0.25">
      <c r="A28" t="s">
        <v>81</v>
      </c>
      <c r="B28" t="s">
        <v>247</v>
      </c>
      <c r="C28">
        <v>2023</v>
      </c>
      <c r="D28" t="s">
        <v>216</v>
      </c>
      <c r="E28">
        <v>3185.07</v>
      </c>
      <c r="G28">
        <f>Table1[[#This Row],[efc_total_gha, Ecological Footprint of Consumption, which is the nationally consumable product, which is derived as EFP + EFI - EFE]]/(Table1[[#This Row],[pop_1000_persons]]*1000)</f>
        <v>0</v>
      </c>
    </row>
    <row r="29" spans="1:7" x14ac:dyDescent="0.25">
      <c r="A29" t="s">
        <v>119</v>
      </c>
      <c r="B29" t="s">
        <v>248</v>
      </c>
      <c r="C29">
        <v>2023</v>
      </c>
      <c r="D29" t="s">
        <v>214</v>
      </c>
      <c r="E29">
        <v>2480.2399999999998</v>
      </c>
      <c r="F29">
        <v>5798995</v>
      </c>
      <c r="G29">
        <f>Table1[[#This Row],[efc_total_gha, Ecological Footprint of Consumption, which is the nationally consumable product, which is derived as EFP + EFI - EFE]]/(Table1[[#This Row],[pop_1000_persons]]*1000)</f>
        <v>2.3380781698545303</v>
      </c>
    </row>
    <row r="30" spans="1:7" x14ac:dyDescent="0.25">
      <c r="A30" t="s">
        <v>92</v>
      </c>
      <c r="B30" t="s">
        <v>249</v>
      </c>
      <c r="C30">
        <v>2023</v>
      </c>
      <c r="D30" t="s">
        <v>212</v>
      </c>
      <c r="E30">
        <v>211141</v>
      </c>
      <c r="F30">
        <v>516130993</v>
      </c>
      <c r="G30">
        <f>Table1[[#This Row],[efc_total_gha, Ecological Footprint of Consumption, which is the nationally consumable product, which is derived as EFP + EFI - EFE]]/(Table1[[#This Row],[pop_1000_persons]]*1000)</f>
        <v>2.4444849318701722</v>
      </c>
    </row>
    <row r="31" spans="1:7" x14ac:dyDescent="0.25">
      <c r="A31" t="s">
        <v>250</v>
      </c>
      <c r="B31" t="s">
        <v>251</v>
      </c>
      <c r="C31">
        <v>2023</v>
      </c>
      <c r="D31" t="s">
        <v>219</v>
      </c>
      <c r="E31">
        <v>38.984999999999999</v>
      </c>
      <c r="G31">
        <f>Table1[[#This Row],[efc_total_gha, Ecological Footprint of Consumption, which is the nationally consumable product, which is derived as EFP + EFI - EFE]]/(Table1[[#This Row],[pop_1000_persons]]*1000)</f>
        <v>0</v>
      </c>
    </row>
    <row r="32" spans="1:7" x14ac:dyDescent="0.25">
      <c r="A32" t="s">
        <v>67</v>
      </c>
      <c r="B32" t="s">
        <v>252</v>
      </c>
      <c r="C32">
        <v>2023</v>
      </c>
      <c r="D32" t="s">
        <v>216</v>
      </c>
      <c r="E32">
        <v>458.94900000000001</v>
      </c>
      <c r="G32">
        <f>Table1[[#This Row],[efc_total_gha, Ecological Footprint of Consumption, which is the nationally consumable product, which is derived as EFP + EFI - EFE]]/(Table1[[#This Row],[pop_1000_persons]]*1000)</f>
        <v>0</v>
      </c>
    </row>
    <row r="33" spans="1:7" x14ac:dyDescent="0.25">
      <c r="A33" t="s">
        <v>62</v>
      </c>
      <c r="B33" t="s">
        <v>253</v>
      </c>
      <c r="C33">
        <v>2023</v>
      </c>
      <c r="D33" t="s">
        <v>216</v>
      </c>
      <c r="E33">
        <v>6795.8</v>
      </c>
      <c r="G33">
        <f>Table1[[#This Row],[efc_total_gha, Ecological Footprint of Consumption, which is the nationally consumable product, which is derived as EFP + EFI - EFE]]/(Table1[[#This Row],[pop_1000_persons]]*1000)</f>
        <v>0</v>
      </c>
    </row>
    <row r="34" spans="1:7" x14ac:dyDescent="0.25">
      <c r="A34" t="s">
        <v>196</v>
      </c>
      <c r="B34" t="s">
        <v>254</v>
      </c>
      <c r="C34">
        <v>2023</v>
      </c>
      <c r="D34" t="s">
        <v>212</v>
      </c>
      <c r="E34">
        <v>23025.8</v>
      </c>
      <c r="F34">
        <v>27691669</v>
      </c>
      <c r="G34">
        <f>Table1[[#This Row],[efc_total_gha, Ecological Footprint of Consumption, which is the nationally consumable product, which is derived as EFP + EFI - EFE]]/(Table1[[#This Row],[pop_1000_persons]]*1000)</f>
        <v>1.2026365642018952</v>
      </c>
    </row>
    <row r="35" spans="1:7" x14ac:dyDescent="0.25">
      <c r="A35" t="s">
        <v>197</v>
      </c>
      <c r="B35" t="s">
        <v>255</v>
      </c>
      <c r="C35">
        <v>2023</v>
      </c>
      <c r="D35" t="s">
        <v>212</v>
      </c>
      <c r="E35">
        <v>13689.5</v>
      </c>
      <c r="F35">
        <v>8773614</v>
      </c>
      <c r="G35">
        <f>Table1[[#This Row],[efc_total_gha, Ecological Footprint of Consumption, which is the nationally consumable product, which is derived as EFP + EFI - EFE]]/(Table1[[#This Row],[pop_1000_persons]]*1000)</f>
        <v>0.64090098250483951</v>
      </c>
    </row>
    <row r="36" spans="1:7" x14ac:dyDescent="0.25">
      <c r="A36" t="s">
        <v>144</v>
      </c>
      <c r="B36" t="s">
        <v>256</v>
      </c>
      <c r="C36">
        <v>2023</v>
      </c>
      <c r="D36" t="s">
        <v>216</v>
      </c>
      <c r="E36">
        <v>522.33100000000002</v>
      </c>
      <c r="G36">
        <f>Table1[[#This Row],[efc_total_gha, Ecological Footprint of Consumption, which is the nationally consumable product, which is derived as EFP + EFI - EFE]]/(Table1[[#This Row],[pop_1000_persons]]*1000)</f>
        <v>0</v>
      </c>
    </row>
    <row r="37" spans="1:7" x14ac:dyDescent="0.25">
      <c r="A37" t="s">
        <v>160</v>
      </c>
      <c r="B37" t="s">
        <v>257</v>
      </c>
      <c r="C37">
        <v>2023</v>
      </c>
      <c r="D37" t="s">
        <v>214</v>
      </c>
      <c r="E37">
        <v>17423.900000000001</v>
      </c>
      <c r="F37">
        <v>28355821</v>
      </c>
      <c r="G37">
        <f>Table1[[#This Row],[efc_total_gha, Ecological Footprint of Consumption, which is the nationally consumable product, which is derived as EFP + EFI - EFE]]/(Table1[[#This Row],[pop_1000_persons]]*1000)</f>
        <v>1.6274095351786912</v>
      </c>
    </row>
    <row r="38" spans="1:7" x14ac:dyDescent="0.25">
      <c r="A38" t="s">
        <v>164</v>
      </c>
      <c r="B38" t="s">
        <v>258</v>
      </c>
      <c r="C38">
        <v>2023</v>
      </c>
      <c r="D38" t="s">
        <v>212</v>
      </c>
      <c r="E38">
        <v>28372.7</v>
      </c>
      <c r="F38">
        <v>30661848</v>
      </c>
      <c r="G38">
        <f>Table1[[#This Row],[efc_total_gha, Ecological Footprint of Consumption, which is the nationally consumable product, which is derived as EFP + EFI - EFE]]/(Table1[[#This Row],[pop_1000_persons]]*1000)</f>
        <v>1.0806813591938731</v>
      </c>
    </row>
    <row r="39" spans="1:7" x14ac:dyDescent="0.25">
      <c r="A39" t="s">
        <v>23</v>
      </c>
      <c r="B39" t="s">
        <v>259</v>
      </c>
      <c r="C39">
        <v>2023</v>
      </c>
      <c r="D39" t="s">
        <v>212</v>
      </c>
      <c r="E39">
        <v>39299.1</v>
      </c>
      <c r="F39">
        <v>269450003</v>
      </c>
      <c r="G39">
        <f>Table1[[#This Row],[efc_total_gha, Ecological Footprint of Consumption, which is the nationally consumable product, which is derived as EFP + EFI - EFE]]/(Table1[[#This Row],[pop_1000_persons]]*1000)</f>
        <v>6.8563911896201182</v>
      </c>
    </row>
    <row r="40" spans="1:7" x14ac:dyDescent="0.25">
      <c r="A40" t="s">
        <v>260</v>
      </c>
      <c r="B40" t="s">
        <v>261</v>
      </c>
      <c r="C40">
        <v>2023</v>
      </c>
      <c r="D40" t="s">
        <v>219</v>
      </c>
      <c r="E40">
        <v>73.037999999999997</v>
      </c>
      <c r="G40">
        <f>Table1[[#This Row],[efc_total_gha, Ecological Footprint of Consumption, which is the nationally consumable product, which is derived as EFP + EFI - EFE]]/(Table1[[#This Row],[pop_1000_persons]]*1000)</f>
        <v>0</v>
      </c>
    </row>
    <row r="41" spans="1:7" x14ac:dyDescent="0.25">
      <c r="A41" t="s">
        <v>201</v>
      </c>
      <c r="B41" t="s">
        <v>262</v>
      </c>
      <c r="C41">
        <v>2023</v>
      </c>
      <c r="D41" t="s">
        <v>214</v>
      </c>
      <c r="E41">
        <v>5152.42</v>
      </c>
      <c r="F41">
        <v>10443411</v>
      </c>
      <c r="G41">
        <f>Table1[[#This Row],[efc_total_gha, Ecological Footprint of Consumption, which is the nationally consumable product, which is derived as EFP + EFI - EFE]]/(Table1[[#This Row],[pop_1000_persons]]*1000)</f>
        <v>2.0268943525566625</v>
      </c>
    </row>
    <row r="42" spans="1:7" x14ac:dyDescent="0.25">
      <c r="A42" t="s">
        <v>200</v>
      </c>
      <c r="B42" t="s">
        <v>263</v>
      </c>
      <c r="C42">
        <v>2023</v>
      </c>
      <c r="D42" t="s">
        <v>212</v>
      </c>
      <c r="E42">
        <v>19319.099999999999</v>
      </c>
      <c r="F42">
        <v>24583106</v>
      </c>
      <c r="G42">
        <f>Table1[[#This Row],[efc_total_gha, Ecological Footprint of Consumption, which is the nationally consumable product, which is derived as EFP + EFI - EFE]]/(Table1[[#This Row],[pop_1000_persons]]*1000)</f>
        <v>1.2724767716922631</v>
      </c>
    </row>
    <row r="43" spans="1:7" x14ac:dyDescent="0.25">
      <c r="A43" t="s">
        <v>52</v>
      </c>
      <c r="B43" t="s">
        <v>264</v>
      </c>
      <c r="C43">
        <v>2023</v>
      </c>
      <c r="D43" t="s">
        <v>212</v>
      </c>
      <c r="E43">
        <v>19658.8</v>
      </c>
      <c r="F43">
        <v>71165943</v>
      </c>
      <c r="G43">
        <f>Table1[[#This Row],[efc_total_gha, Ecological Footprint of Consumption, which is the nationally consumable product, which is derived as EFP + EFI - EFE]]/(Table1[[#This Row],[pop_1000_persons]]*1000)</f>
        <v>3.620055293303762</v>
      </c>
    </row>
    <row r="44" spans="1:7" x14ac:dyDescent="0.25">
      <c r="A44" t="s">
        <v>86</v>
      </c>
      <c r="B44" t="s">
        <v>265</v>
      </c>
      <c r="C44">
        <v>2023</v>
      </c>
      <c r="D44" t="s">
        <v>212</v>
      </c>
      <c r="E44">
        <v>1454060</v>
      </c>
      <c r="F44">
        <v>5187817800</v>
      </c>
      <c r="G44">
        <f>Table1[[#This Row],[efc_total_gha, Ecological Footprint of Consumption, which is the nationally consumable product, which is derived as EFP + EFI - EFE]]/(Table1[[#This Row],[pop_1000_persons]]*1000)</f>
        <v>3.5678154959217641</v>
      </c>
    </row>
    <row r="45" spans="1:7" x14ac:dyDescent="0.25">
      <c r="A45" t="s">
        <v>91</v>
      </c>
      <c r="B45" t="s">
        <v>266</v>
      </c>
      <c r="C45">
        <v>2023</v>
      </c>
      <c r="D45" t="s">
        <v>212</v>
      </c>
      <c r="E45">
        <v>52321.2</v>
      </c>
      <c r="F45">
        <v>100197821</v>
      </c>
      <c r="G45">
        <f>Table1[[#This Row],[efc_total_gha, Ecological Footprint of Consumption, which is the nationally consumable product, which is derived as EFP + EFI - EFE]]/(Table1[[#This Row],[pop_1000_persons]]*1000)</f>
        <v>1.9150520439133658</v>
      </c>
    </row>
    <row r="46" spans="1:7" x14ac:dyDescent="0.25">
      <c r="A46" t="s">
        <v>161</v>
      </c>
      <c r="B46" t="s">
        <v>267</v>
      </c>
      <c r="C46">
        <v>2023</v>
      </c>
      <c r="D46" t="s">
        <v>219</v>
      </c>
      <c r="E46">
        <v>850.38699999999994</v>
      </c>
      <c r="G46">
        <f>Table1[[#This Row],[efc_total_gha, Ecological Footprint of Consumption, which is the nationally consumable product, which is derived as EFP + EFI - EFE]]/(Table1[[#This Row],[pop_1000_persons]]*1000)</f>
        <v>0</v>
      </c>
    </row>
    <row r="47" spans="1:7" x14ac:dyDescent="0.25">
      <c r="A47" t="s">
        <v>147</v>
      </c>
      <c r="B47" t="s">
        <v>268</v>
      </c>
      <c r="C47">
        <v>2023</v>
      </c>
      <c r="D47" t="s">
        <v>212</v>
      </c>
      <c r="E47">
        <v>6182.88</v>
      </c>
      <c r="F47">
        <v>6294948</v>
      </c>
      <c r="G47">
        <f>Table1[[#This Row],[efc_total_gha, Ecological Footprint of Consumption, which is the nationally consumable product, which is derived as EFP + EFI - EFE]]/(Table1[[#This Row],[pop_1000_persons]]*1000)</f>
        <v>1.0181255337318531</v>
      </c>
    </row>
    <row r="48" spans="1:7" x14ac:dyDescent="0.25">
      <c r="A48" t="s">
        <v>269</v>
      </c>
      <c r="B48" t="s">
        <v>270</v>
      </c>
      <c r="C48">
        <v>2023</v>
      </c>
      <c r="D48" t="s">
        <v>212</v>
      </c>
      <c r="E48">
        <v>105790</v>
      </c>
      <c r="F48">
        <v>73326827</v>
      </c>
      <c r="G48">
        <f>Table1[[#This Row],[efc_total_gha, Ecological Footprint of Consumption, which is the nationally consumable product, which is derived as EFP + EFI - EFE]]/(Table1[[#This Row],[pop_1000_persons]]*1000)</f>
        <v>0.69313571226013804</v>
      </c>
    </row>
    <row r="49" spans="1:7" x14ac:dyDescent="0.25">
      <c r="A49" t="s">
        <v>271</v>
      </c>
      <c r="B49" t="s">
        <v>272</v>
      </c>
      <c r="C49">
        <v>2023</v>
      </c>
      <c r="D49" t="s">
        <v>216</v>
      </c>
      <c r="E49">
        <v>14.222</v>
      </c>
      <c r="G49">
        <f>Table1[[#This Row],[efc_total_gha, Ecological Footprint of Consumption, which is the nationally consumable product, which is derived as EFP + EFI - EFE]]/(Table1[[#This Row],[pop_1000_persons]]*1000)</f>
        <v>0</v>
      </c>
    </row>
    <row r="50" spans="1:7" x14ac:dyDescent="0.25">
      <c r="A50" t="s">
        <v>69</v>
      </c>
      <c r="B50" t="s">
        <v>273</v>
      </c>
      <c r="C50">
        <v>2023</v>
      </c>
      <c r="D50" t="s">
        <v>212</v>
      </c>
      <c r="E50">
        <v>5105.5200000000004</v>
      </c>
      <c r="F50">
        <v>13579797</v>
      </c>
      <c r="G50">
        <f>Table1[[#This Row],[efc_total_gha, Ecological Footprint of Consumption, which is the nationally consumable product, which is derived as EFP + EFI - EFE]]/(Table1[[#This Row],[pop_1000_persons]]*1000)</f>
        <v>2.6598264231655149</v>
      </c>
    </row>
    <row r="51" spans="1:7" x14ac:dyDescent="0.25">
      <c r="A51" t="s">
        <v>166</v>
      </c>
      <c r="B51" t="s">
        <v>274</v>
      </c>
      <c r="C51">
        <v>2023</v>
      </c>
      <c r="D51" t="s">
        <v>212</v>
      </c>
      <c r="E51">
        <v>31165.7</v>
      </c>
      <c r="F51">
        <v>37432511</v>
      </c>
      <c r="G51">
        <f>Table1[[#This Row],[efc_total_gha, Ecological Footprint of Consumption, which is the nationally consumable product, which is derived as EFP + EFI - EFE]]/(Table1[[#This Row],[pop_1000_persons]]*1000)</f>
        <v>1.2010803864504889</v>
      </c>
    </row>
    <row r="52" spans="1:7" x14ac:dyDescent="0.25">
      <c r="A52" t="s">
        <v>48</v>
      </c>
      <c r="B52" t="s">
        <v>275</v>
      </c>
      <c r="C52">
        <v>2023</v>
      </c>
      <c r="D52" t="s">
        <v>212</v>
      </c>
      <c r="E52">
        <v>3896.02</v>
      </c>
      <c r="F52">
        <v>18416956</v>
      </c>
      <c r="G52">
        <f>Table1[[#This Row],[efc_total_gha, Ecological Footprint of Consumption, which is the nationally consumable product, which is derived as EFP + EFI - EFE]]/(Table1[[#This Row],[pop_1000_persons]]*1000)</f>
        <v>4.7271204973280421</v>
      </c>
    </row>
    <row r="53" spans="1:7" x14ac:dyDescent="0.25">
      <c r="A53" t="s">
        <v>105</v>
      </c>
      <c r="B53" t="s">
        <v>276</v>
      </c>
      <c r="C53">
        <v>2023</v>
      </c>
      <c r="D53" t="s">
        <v>214</v>
      </c>
      <c r="E53">
        <v>11019.9</v>
      </c>
      <c r="F53">
        <v>19448520</v>
      </c>
      <c r="G53">
        <f>Table1[[#This Row],[efc_total_gha, Ecological Footprint of Consumption, which is the nationally consumable product, which is derived as EFP + EFI - EFE]]/(Table1[[#This Row],[pop_1000_persons]]*1000)</f>
        <v>1.764854490512618</v>
      </c>
    </row>
    <row r="54" spans="1:7" x14ac:dyDescent="0.25">
      <c r="A54" t="s">
        <v>277</v>
      </c>
      <c r="B54" t="s">
        <v>278</v>
      </c>
      <c r="C54">
        <v>2023</v>
      </c>
      <c r="D54" t="s">
        <v>219</v>
      </c>
      <c r="E54">
        <v>185.42699999999999</v>
      </c>
      <c r="G54">
        <f>Table1[[#This Row],[efc_total_gha, Ecological Footprint of Consumption, which is the nationally consumable product, which is derived as EFP + EFI - EFE]]/(Table1[[#This Row],[pop_1000_persons]]*1000)</f>
        <v>0</v>
      </c>
    </row>
    <row r="55" spans="1:7" x14ac:dyDescent="0.25">
      <c r="A55" t="s">
        <v>40</v>
      </c>
      <c r="B55" t="s">
        <v>279</v>
      </c>
      <c r="C55">
        <v>2023</v>
      </c>
      <c r="D55" t="s">
        <v>214</v>
      </c>
      <c r="E55">
        <v>1344.98</v>
      </c>
      <c r="F55">
        <v>5442618</v>
      </c>
      <c r="G55">
        <f>Table1[[#This Row],[efc_total_gha, Ecological Footprint of Consumption, which is the nationally consumable product, which is derived as EFP + EFI - EFE]]/(Table1[[#This Row],[pop_1000_persons]]*1000)</f>
        <v>4.0466163065621794</v>
      </c>
    </row>
    <row r="56" spans="1:7" x14ac:dyDescent="0.25">
      <c r="A56" t="s">
        <v>280</v>
      </c>
      <c r="B56" t="s">
        <v>281</v>
      </c>
      <c r="C56">
        <v>2023</v>
      </c>
      <c r="D56" t="s">
        <v>212</v>
      </c>
      <c r="E56">
        <v>10809.7</v>
      </c>
      <c r="F56">
        <v>54782189</v>
      </c>
      <c r="G56">
        <f>Table1[[#This Row],[efc_total_gha, Ecological Footprint of Consumption, which is the nationally consumable product, which is derived as EFP + EFI - EFE]]/(Table1[[#This Row],[pop_1000_persons]]*1000)</f>
        <v>5.0678732064719654</v>
      </c>
    </row>
    <row r="57" spans="1:7" x14ac:dyDescent="0.25">
      <c r="A57" t="s">
        <v>11</v>
      </c>
      <c r="B57" t="s">
        <v>282</v>
      </c>
      <c r="C57">
        <v>2023</v>
      </c>
      <c r="D57" t="s">
        <v>212</v>
      </c>
      <c r="E57">
        <v>5948.14</v>
      </c>
      <c r="F57">
        <v>38529625</v>
      </c>
      <c r="G57">
        <f>Table1[[#This Row],[efc_total_gha, Ecological Footprint of Consumption, which is the nationally consumable product, which is derived as EFP + EFI - EFE]]/(Table1[[#This Row],[pop_1000_persons]]*1000)</f>
        <v>6.4775921548584936</v>
      </c>
    </row>
    <row r="58" spans="1:7" x14ac:dyDescent="0.25">
      <c r="A58" t="s">
        <v>185</v>
      </c>
      <c r="B58" t="s">
        <v>283</v>
      </c>
      <c r="C58">
        <v>2023</v>
      </c>
      <c r="D58" t="s">
        <v>216</v>
      </c>
      <c r="E58">
        <v>1152.94</v>
      </c>
      <c r="G58">
        <f>Table1[[#This Row],[efc_total_gha, Ecological Footprint of Consumption, which is the nationally consumable product, which is derived as EFP + EFI - EFE]]/(Table1[[#This Row],[pop_1000_persons]]*1000)</f>
        <v>0</v>
      </c>
    </row>
    <row r="59" spans="1:7" x14ac:dyDescent="0.25">
      <c r="A59" t="s">
        <v>106</v>
      </c>
      <c r="B59" t="s">
        <v>284</v>
      </c>
      <c r="C59">
        <v>2023</v>
      </c>
      <c r="D59" t="s">
        <v>216</v>
      </c>
      <c r="E59">
        <v>66.510000000000005</v>
      </c>
      <c r="G59">
        <f>Table1[[#This Row],[efc_total_gha, Ecological Footprint of Consumption, which is the nationally consumable product, which is derived as EFP + EFI - EFE]]/(Table1[[#This Row],[pop_1000_persons]]*1000)</f>
        <v>0</v>
      </c>
    </row>
    <row r="60" spans="1:7" x14ac:dyDescent="0.25">
      <c r="A60" t="s">
        <v>97</v>
      </c>
      <c r="B60" t="s">
        <v>285</v>
      </c>
      <c r="C60">
        <v>2023</v>
      </c>
      <c r="D60" t="s">
        <v>212</v>
      </c>
      <c r="E60">
        <v>11331.3</v>
      </c>
      <c r="F60">
        <v>27228826</v>
      </c>
      <c r="G60">
        <f>Table1[[#This Row],[efc_total_gha, Ecological Footprint of Consumption, which is the nationally consumable product, which is derived as EFP + EFI - EFE]]/(Table1[[#This Row],[pop_1000_persons]]*1000)</f>
        <v>2.4029745925004193</v>
      </c>
    </row>
    <row r="61" spans="1:7" x14ac:dyDescent="0.25">
      <c r="A61" t="s">
        <v>96</v>
      </c>
      <c r="B61" t="s">
        <v>286</v>
      </c>
      <c r="C61">
        <v>2023</v>
      </c>
      <c r="D61" t="s">
        <v>216</v>
      </c>
      <c r="E61">
        <v>17980.099999999999</v>
      </c>
      <c r="G61">
        <f>Table1[[#This Row],[efc_total_gha, Ecological Footprint of Consumption, which is the nationally consumable product, which is derived as EFP + EFI - EFE]]/(Table1[[#This Row],[pop_1000_persons]]*1000)</f>
        <v>0</v>
      </c>
    </row>
    <row r="62" spans="1:7" x14ac:dyDescent="0.25">
      <c r="A62" t="s">
        <v>108</v>
      </c>
      <c r="B62" t="s">
        <v>287</v>
      </c>
      <c r="C62">
        <v>2023</v>
      </c>
      <c r="D62" t="s">
        <v>212</v>
      </c>
      <c r="E62">
        <v>114536</v>
      </c>
      <c r="F62">
        <v>159247509</v>
      </c>
      <c r="G62">
        <f>Table1[[#This Row],[efc_total_gha, Ecological Footprint of Consumption, which is the nationally consumable product, which is derived as EFP + EFI - EFE]]/(Table1[[#This Row],[pop_1000_persons]]*1000)</f>
        <v>1.3903707917161416</v>
      </c>
    </row>
    <row r="63" spans="1:7" x14ac:dyDescent="0.25">
      <c r="A63" t="s">
        <v>141</v>
      </c>
      <c r="B63" t="s">
        <v>288</v>
      </c>
      <c r="C63">
        <v>2023</v>
      </c>
      <c r="D63" t="s">
        <v>214</v>
      </c>
      <c r="E63">
        <v>6309.62</v>
      </c>
      <c r="F63">
        <v>14322343</v>
      </c>
      <c r="G63">
        <f>Table1[[#This Row],[efc_total_gha, Ecological Footprint of Consumption, which is the nationally consumable product, which is derived as EFP + EFI - EFE]]/(Table1[[#This Row],[pop_1000_persons]]*1000)</f>
        <v>2.2699216434587184</v>
      </c>
    </row>
    <row r="64" spans="1:7" x14ac:dyDescent="0.25">
      <c r="A64" t="s">
        <v>142</v>
      </c>
      <c r="B64" t="s">
        <v>289</v>
      </c>
      <c r="C64">
        <v>2023</v>
      </c>
      <c r="D64" t="s">
        <v>216</v>
      </c>
      <c r="E64">
        <v>1847.55</v>
      </c>
      <c r="G64">
        <f>Table1[[#This Row],[efc_total_gha, Ecological Footprint of Consumption, which is the nationally consumable product, which is derived as EFP + EFI - EFE]]/(Table1[[#This Row],[pop_1000_persons]]*1000)</f>
        <v>0</v>
      </c>
    </row>
    <row r="65" spans="1:7" x14ac:dyDescent="0.25">
      <c r="A65" t="s">
        <v>188</v>
      </c>
      <c r="B65" t="s">
        <v>290</v>
      </c>
      <c r="C65">
        <v>2023</v>
      </c>
      <c r="D65" t="s">
        <v>212</v>
      </c>
      <c r="E65">
        <v>3470.39</v>
      </c>
      <c r="F65">
        <v>2562039</v>
      </c>
      <c r="G65">
        <f>Table1[[#This Row],[efc_total_gha, Ecological Footprint of Consumption, which is the nationally consumable product, which is derived as EFP + EFI - EFE]]/(Table1[[#This Row],[pop_1000_persons]]*1000)</f>
        <v>0.73825679534576805</v>
      </c>
    </row>
    <row r="66" spans="1:7" x14ac:dyDescent="0.25">
      <c r="A66" t="s">
        <v>43</v>
      </c>
      <c r="B66" t="s">
        <v>291</v>
      </c>
      <c r="C66">
        <v>2023</v>
      </c>
      <c r="D66" t="s">
        <v>212</v>
      </c>
      <c r="E66">
        <v>1367.2</v>
      </c>
      <c r="F66">
        <v>9034389</v>
      </c>
      <c r="G66">
        <f>Table1[[#This Row],[efc_total_gha, Ecological Footprint of Consumption, which is the nationally consumable product, which is derived as EFP + EFI - EFE]]/(Table1[[#This Row],[pop_1000_persons]]*1000)</f>
        <v>6.607949824458748</v>
      </c>
    </row>
    <row r="67" spans="1:7" x14ac:dyDescent="0.25">
      <c r="A67" t="s">
        <v>292</v>
      </c>
      <c r="B67" t="s">
        <v>293</v>
      </c>
      <c r="C67">
        <v>2023</v>
      </c>
      <c r="D67" t="s">
        <v>214</v>
      </c>
      <c r="E67">
        <v>1230.51</v>
      </c>
      <c r="F67">
        <v>2453695</v>
      </c>
      <c r="G67">
        <f>Table1[[#This Row],[efc_total_gha, Ecological Footprint of Consumption, which is the nationally consumable product, which is derived as EFP + EFI - EFE]]/(Table1[[#This Row],[pop_1000_persons]]*1000)</f>
        <v>1.9940471836880642</v>
      </c>
    </row>
    <row r="68" spans="1:7" x14ac:dyDescent="0.25">
      <c r="A68" t="s">
        <v>190</v>
      </c>
      <c r="B68" t="s">
        <v>294</v>
      </c>
      <c r="C68">
        <v>2023</v>
      </c>
      <c r="D68" t="s">
        <v>212</v>
      </c>
      <c r="E68">
        <v>128692</v>
      </c>
      <c r="F68">
        <v>117080474</v>
      </c>
      <c r="G68">
        <f>Table1[[#This Row],[efc_total_gha, Ecological Footprint of Consumption, which is the nationally consumable product, which is derived as EFP + EFI - EFE]]/(Table1[[#This Row],[pop_1000_persons]]*1000)</f>
        <v>0.90977274422652532</v>
      </c>
    </row>
    <row r="69" spans="1:7" x14ac:dyDescent="0.25">
      <c r="A69" t="s">
        <v>295</v>
      </c>
      <c r="B69" t="s">
        <v>296</v>
      </c>
      <c r="C69">
        <v>2023</v>
      </c>
      <c r="D69" t="s">
        <v>219</v>
      </c>
      <c r="E69">
        <v>3.4769999999999999</v>
      </c>
      <c r="G69">
        <f>Table1[[#This Row],[efc_total_gha, Ecological Footprint of Consumption, which is the nationally consumable product, which is derived as EFP + EFI - EFE]]/(Table1[[#This Row],[pop_1000_persons]]*1000)</f>
        <v>0</v>
      </c>
    </row>
    <row r="70" spans="1:7" x14ac:dyDescent="0.25">
      <c r="A70" t="s">
        <v>297</v>
      </c>
      <c r="B70" t="s">
        <v>298</v>
      </c>
      <c r="C70">
        <v>2023</v>
      </c>
      <c r="D70" t="s">
        <v>212</v>
      </c>
      <c r="E70">
        <v>54.713999999999999</v>
      </c>
      <c r="F70">
        <v>2924185</v>
      </c>
      <c r="G70">
        <f>Table1[[#This Row],[efc_total_gha, Ecological Footprint of Consumption, which is the nationally consumable product, which is derived as EFP + EFI - EFE]]/(Table1[[#This Row],[pop_1000_persons]]*1000)</f>
        <v>53.444913550462402</v>
      </c>
    </row>
    <row r="71" spans="1:7" x14ac:dyDescent="0.25">
      <c r="A71" t="s">
        <v>120</v>
      </c>
      <c r="B71" t="s">
        <v>299</v>
      </c>
      <c r="C71">
        <v>2023</v>
      </c>
      <c r="D71" t="s">
        <v>214</v>
      </c>
      <c r="E71">
        <v>924.14499999999998</v>
      </c>
      <c r="F71">
        <v>2888621</v>
      </c>
      <c r="G71">
        <f>Table1[[#This Row],[efc_total_gha, Ecological Footprint of Consumption, which is the nationally consumable product, which is derived as EFP + EFI - EFE]]/(Table1[[#This Row],[pop_1000_persons]]*1000)</f>
        <v>3.1257226950316239</v>
      </c>
    </row>
    <row r="72" spans="1:7" x14ac:dyDescent="0.25">
      <c r="A72" t="s">
        <v>19</v>
      </c>
      <c r="B72" t="s">
        <v>300</v>
      </c>
      <c r="C72">
        <v>2023</v>
      </c>
      <c r="D72" t="s">
        <v>216</v>
      </c>
      <c r="E72">
        <v>5601.19</v>
      </c>
      <c r="G72">
        <f>Table1[[#This Row],[efc_total_gha, Ecological Footprint of Consumption, which is the nationally consumable product, which is derived as EFP + EFI - EFE]]/(Table1[[#This Row],[pop_1000_persons]]*1000)</f>
        <v>0</v>
      </c>
    </row>
    <row r="73" spans="1:7" x14ac:dyDescent="0.25">
      <c r="A73" t="s">
        <v>33</v>
      </c>
      <c r="B73" t="s">
        <v>301</v>
      </c>
      <c r="C73">
        <v>2023</v>
      </c>
      <c r="D73" t="s">
        <v>212</v>
      </c>
      <c r="E73">
        <v>66477.8</v>
      </c>
      <c r="F73">
        <v>302130084</v>
      </c>
      <c r="G73">
        <f>Table1[[#This Row],[efc_total_gha, Ecological Footprint of Consumption, which is the nationally consumable product, which is derived as EFP + EFI - EFE]]/(Table1[[#This Row],[pop_1000_persons]]*1000)</f>
        <v>4.5448267541946334</v>
      </c>
    </row>
    <row r="74" spans="1:7" x14ac:dyDescent="0.25">
      <c r="A74" t="s">
        <v>302</v>
      </c>
      <c r="B74" t="s">
        <v>303</v>
      </c>
      <c r="C74">
        <v>2023</v>
      </c>
      <c r="D74" t="s">
        <v>216</v>
      </c>
      <c r="E74">
        <v>303.40199999999999</v>
      </c>
      <c r="G74">
        <f>Table1[[#This Row],[efc_total_gha, Ecological Footprint of Consumption, which is the nationally consumable product, which is derived as EFP + EFI - EFE]]/(Table1[[#This Row],[pop_1000_persons]]*1000)</f>
        <v>0</v>
      </c>
    </row>
    <row r="75" spans="1:7" x14ac:dyDescent="0.25">
      <c r="A75" t="s">
        <v>304</v>
      </c>
      <c r="B75" t="s">
        <v>305</v>
      </c>
      <c r="C75">
        <v>2023</v>
      </c>
      <c r="D75" t="s">
        <v>219</v>
      </c>
      <c r="E75">
        <v>281.11799999999999</v>
      </c>
      <c r="G75">
        <f>Table1[[#This Row],[efc_total_gha, Ecological Footprint of Consumption, which is the nationally consumable product, which is derived as EFP + EFI - EFE]]/(Table1[[#This Row],[pop_1000_persons]]*1000)</f>
        <v>0</v>
      </c>
    </row>
    <row r="76" spans="1:7" x14ac:dyDescent="0.25">
      <c r="A76" t="s">
        <v>117</v>
      </c>
      <c r="B76" t="s">
        <v>306</v>
      </c>
      <c r="C76">
        <v>2023</v>
      </c>
      <c r="D76" t="s">
        <v>216</v>
      </c>
      <c r="E76">
        <v>2484.79</v>
      </c>
      <c r="G76">
        <f>Table1[[#This Row],[efc_total_gha, Ecological Footprint of Consumption, which is the nationally consumable product, which is derived as EFP + EFI - EFE]]/(Table1[[#This Row],[pop_1000_persons]]*1000)</f>
        <v>0</v>
      </c>
    </row>
    <row r="77" spans="1:7" x14ac:dyDescent="0.25">
      <c r="A77" t="s">
        <v>180</v>
      </c>
      <c r="B77" t="s">
        <v>307</v>
      </c>
      <c r="C77">
        <v>2023</v>
      </c>
      <c r="D77" t="s">
        <v>216</v>
      </c>
      <c r="E77">
        <v>2697.84</v>
      </c>
      <c r="G77">
        <f>Table1[[#This Row],[efc_total_gha, Ecological Footprint of Consumption, which is the nationally consumable product, which is derived as EFP + EFI - EFE]]/(Table1[[#This Row],[pop_1000_persons]]*1000)</f>
        <v>0</v>
      </c>
    </row>
    <row r="78" spans="1:7" x14ac:dyDescent="0.25">
      <c r="A78" t="s">
        <v>64</v>
      </c>
      <c r="B78" t="s">
        <v>308</v>
      </c>
      <c r="C78">
        <v>2023</v>
      </c>
      <c r="D78" t="s">
        <v>216</v>
      </c>
      <c r="E78">
        <v>3807.49</v>
      </c>
      <c r="G78">
        <f>Table1[[#This Row],[efc_total_gha, Ecological Footprint of Consumption, which is the nationally consumable product, which is derived as EFP + EFI - EFE]]/(Table1[[#This Row],[pop_1000_persons]]*1000)</f>
        <v>0</v>
      </c>
    </row>
    <row r="79" spans="1:7" x14ac:dyDescent="0.25">
      <c r="A79" t="s">
        <v>12</v>
      </c>
      <c r="B79" t="s">
        <v>309</v>
      </c>
      <c r="C79">
        <v>2023</v>
      </c>
      <c r="D79" t="s">
        <v>212</v>
      </c>
      <c r="E79">
        <v>84548.2</v>
      </c>
      <c r="F79">
        <v>340574660</v>
      </c>
      <c r="G79">
        <f>Table1[[#This Row],[efc_total_gha, Ecological Footprint of Consumption, which is the nationally consumable product, which is derived as EFP + EFI - EFE]]/(Table1[[#This Row],[pop_1000_persons]]*1000)</f>
        <v>4.0281716228139688</v>
      </c>
    </row>
    <row r="80" spans="1:7" x14ac:dyDescent="0.25">
      <c r="A80" t="s">
        <v>152</v>
      </c>
      <c r="B80" t="s">
        <v>310</v>
      </c>
      <c r="C80">
        <v>2023</v>
      </c>
      <c r="D80" t="s">
        <v>212</v>
      </c>
      <c r="E80">
        <v>33787.9</v>
      </c>
      <c r="F80">
        <v>66831122</v>
      </c>
      <c r="G80">
        <f>Table1[[#This Row],[efc_total_gha, Ecological Footprint of Consumption, which is the nationally consumable product, which is derived as EFP + EFI - EFE]]/(Table1[[#This Row],[pop_1000_persons]]*1000)</f>
        <v>1.9779602165272183</v>
      </c>
    </row>
    <row r="81" spans="1:7" x14ac:dyDescent="0.25">
      <c r="A81" t="s">
        <v>311</v>
      </c>
      <c r="B81" t="s">
        <v>312</v>
      </c>
      <c r="C81">
        <v>2023</v>
      </c>
      <c r="D81" t="s">
        <v>219</v>
      </c>
      <c r="E81">
        <v>38.470999999999997</v>
      </c>
      <c r="G81">
        <f>Table1[[#This Row],[efc_total_gha, Ecological Footprint of Consumption, which is the nationally consumable product, which is derived as EFP + EFI - EFE]]/(Table1[[#This Row],[pop_1000_persons]]*1000)</f>
        <v>0</v>
      </c>
    </row>
    <row r="82" spans="1:7" x14ac:dyDescent="0.25">
      <c r="A82" t="s">
        <v>41</v>
      </c>
      <c r="B82" t="s">
        <v>313</v>
      </c>
      <c r="C82">
        <v>2023</v>
      </c>
      <c r="D82" t="s">
        <v>212</v>
      </c>
      <c r="E82">
        <v>10242.9</v>
      </c>
      <c r="F82">
        <v>35361573</v>
      </c>
      <c r="G82">
        <f>Table1[[#This Row],[efc_total_gha, Ecological Footprint of Consumption, which is the nationally consumable product, which is derived as EFP + EFI - EFE]]/(Table1[[#This Row],[pop_1000_persons]]*1000)</f>
        <v>3.4523009108748499</v>
      </c>
    </row>
    <row r="83" spans="1:7" x14ac:dyDescent="0.25">
      <c r="A83" t="s">
        <v>314</v>
      </c>
      <c r="B83" t="s">
        <v>315</v>
      </c>
      <c r="C83">
        <v>2023</v>
      </c>
      <c r="D83" t="s">
        <v>219</v>
      </c>
      <c r="E83">
        <v>55.921999999999997</v>
      </c>
      <c r="G83">
        <f>Table1[[#This Row],[efc_total_gha, Ecological Footprint of Consumption, which is the nationally consumable product, which is derived as EFP + EFI - EFE]]/(Table1[[#This Row],[pop_1000_persons]]*1000)</f>
        <v>0</v>
      </c>
    </row>
    <row r="84" spans="1:7" x14ac:dyDescent="0.25">
      <c r="A84" t="s">
        <v>88</v>
      </c>
      <c r="B84" t="s">
        <v>316</v>
      </c>
      <c r="C84">
        <v>2023</v>
      </c>
      <c r="D84" t="s">
        <v>214</v>
      </c>
      <c r="E84">
        <v>117.081</v>
      </c>
      <c r="F84">
        <v>433779</v>
      </c>
      <c r="G84">
        <f>Table1[[#This Row],[efc_total_gha, Ecological Footprint of Consumption, which is the nationally consumable product, which is derived as EFP + EFI - EFE]]/(Table1[[#This Row],[pop_1000_persons]]*1000)</f>
        <v>3.704947856612089</v>
      </c>
    </row>
    <row r="85" spans="1:7" x14ac:dyDescent="0.25">
      <c r="A85" t="s">
        <v>317</v>
      </c>
      <c r="B85" t="s">
        <v>318</v>
      </c>
      <c r="C85">
        <v>2023</v>
      </c>
      <c r="D85" t="s">
        <v>216</v>
      </c>
      <c r="E85">
        <v>376.517</v>
      </c>
      <c r="G85">
        <f>Table1[[#This Row],[efc_total_gha, Ecological Footprint of Consumption, which is the nationally consumable product, which is derived as EFP + EFI - EFE]]/(Table1[[#This Row],[pop_1000_persons]]*1000)</f>
        <v>0</v>
      </c>
    </row>
    <row r="86" spans="1:7" x14ac:dyDescent="0.25">
      <c r="A86" t="s">
        <v>319</v>
      </c>
      <c r="B86" t="s">
        <v>320</v>
      </c>
      <c r="C86">
        <v>2023</v>
      </c>
      <c r="D86" t="s">
        <v>219</v>
      </c>
      <c r="E86">
        <v>166.506</v>
      </c>
      <c r="G86">
        <f>Table1[[#This Row],[efc_total_gha, Ecological Footprint of Consumption, which is the nationally consumable product, which is derived as EFP + EFI - EFE]]/(Table1[[#This Row],[pop_1000_persons]]*1000)</f>
        <v>0</v>
      </c>
    </row>
    <row r="87" spans="1:7" x14ac:dyDescent="0.25">
      <c r="A87" t="s">
        <v>146</v>
      </c>
      <c r="B87" t="s">
        <v>321</v>
      </c>
      <c r="C87">
        <v>2023</v>
      </c>
      <c r="D87" t="s">
        <v>216</v>
      </c>
      <c r="E87">
        <v>18124.8</v>
      </c>
      <c r="G87">
        <f>Table1[[#This Row],[efc_total_gha, Ecological Footprint of Consumption, which is the nationally consumable product, which is derived as EFP + EFI - EFE]]/(Table1[[#This Row],[pop_1000_persons]]*1000)</f>
        <v>0</v>
      </c>
    </row>
    <row r="88" spans="1:7" x14ac:dyDescent="0.25">
      <c r="A88" t="s">
        <v>189</v>
      </c>
      <c r="B88" t="s">
        <v>322</v>
      </c>
      <c r="C88">
        <v>2023</v>
      </c>
      <c r="D88" t="s">
        <v>212</v>
      </c>
      <c r="E88">
        <v>14405.5</v>
      </c>
      <c r="F88">
        <v>26419390</v>
      </c>
      <c r="G88">
        <f>Table1[[#This Row],[efc_total_gha, Ecological Footprint of Consumption, which is the nationally consumable product, which is derived as EFP + EFI - EFE]]/(Table1[[#This Row],[pop_1000_persons]]*1000)</f>
        <v>1.8339793828745965</v>
      </c>
    </row>
    <row r="89" spans="1:7" x14ac:dyDescent="0.25">
      <c r="A89" t="s">
        <v>184</v>
      </c>
      <c r="B89" t="s">
        <v>323</v>
      </c>
      <c r="C89">
        <v>2023</v>
      </c>
      <c r="D89" t="s">
        <v>216</v>
      </c>
      <c r="E89">
        <v>2153.34</v>
      </c>
      <c r="G89">
        <f>Table1[[#This Row],[efc_total_gha, Ecological Footprint of Consumption, which is the nationally consumable product, which is derived as EFP + EFI - EFE]]/(Table1[[#This Row],[pop_1000_persons]]*1000)</f>
        <v>0</v>
      </c>
    </row>
    <row r="90" spans="1:7" x14ac:dyDescent="0.25">
      <c r="A90" t="s">
        <v>98</v>
      </c>
      <c r="B90" t="s">
        <v>324</v>
      </c>
      <c r="C90">
        <v>2023</v>
      </c>
      <c r="D90" t="s">
        <v>216</v>
      </c>
      <c r="E90">
        <v>826.35299999999995</v>
      </c>
      <c r="G90">
        <f>Table1[[#This Row],[efc_total_gha, Ecological Footprint of Consumption, which is the nationally consumable product, which is derived as EFP + EFI - EFE]]/(Table1[[#This Row],[pop_1000_persons]]*1000)</f>
        <v>0</v>
      </c>
    </row>
    <row r="91" spans="1:7" x14ac:dyDescent="0.25">
      <c r="A91" t="s">
        <v>175</v>
      </c>
      <c r="B91" t="s">
        <v>325</v>
      </c>
      <c r="C91">
        <v>2023</v>
      </c>
      <c r="D91" t="s">
        <v>212</v>
      </c>
      <c r="E91">
        <v>11637.4</v>
      </c>
      <c r="F91">
        <v>7443901</v>
      </c>
      <c r="G91">
        <f>Table1[[#This Row],[efc_total_gha, Ecological Footprint of Consumption, which is the nationally consumable product, which is derived as EFP + EFI - EFE]]/(Table1[[#This Row],[pop_1000_persons]]*1000)</f>
        <v>0.63965327306786735</v>
      </c>
    </row>
    <row r="92" spans="1:7" x14ac:dyDescent="0.25">
      <c r="A92" t="s">
        <v>148</v>
      </c>
      <c r="B92" t="s">
        <v>326</v>
      </c>
      <c r="C92">
        <v>2023</v>
      </c>
      <c r="D92" t="s">
        <v>216</v>
      </c>
      <c r="E92">
        <v>10644.9</v>
      </c>
      <c r="G92">
        <f>Table1[[#This Row],[efc_total_gha, Ecological Footprint of Consumption, which is the nationally consumable product, which is derived as EFP + EFI - EFE]]/(Table1[[#This Row],[pop_1000_persons]]*1000)</f>
        <v>0</v>
      </c>
    </row>
    <row r="93" spans="1:7" x14ac:dyDescent="0.25">
      <c r="A93" t="s">
        <v>53</v>
      </c>
      <c r="B93" t="s">
        <v>327</v>
      </c>
      <c r="C93">
        <v>2023</v>
      </c>
      <c r="D93" t="s">
        <v>216</v>
      </c>
      <c r="E93">
        <v>9686.4599999999991</v>
      </c>
      <c r="G93">
        <f>Table1[[#This Row],[efc_total_gha, Ecological Footprint of Consumption, which is the nationally consumable product, which is derived as EFP + EFI - EFE]]/(Table1[[#This Row],[pop_1000_persons]]*1000)</f>
        <v>0</v>
      </c>
    </row>
    <row r="94" spans="1:7" x14ac:dyDescent="0.25">
      <c r="A94" t="s">
        <v>8</v>
      </c>
      <c r="B94" t="s">
        <v>328</v>
      </c>
      <c r="C94">
        <v>2023</v>
      </c>
      <c r="D94" t="s">
        <v>212</v>
      </c>
      <c r="E94">
        <v>387.55799999999999</v>
      </c>
      <c r="F94">
        <v>9360169</v>
      </c>
      <c r="G94">
        <f>Table1[[#This Row],[efc_total_gha, Ecological Footprint of Consumption, which is the nationally consumable product, which is derived as EFP + EFI - EFE]]/(Table1[[#This Row],[pop_1000_persons]]*1000)</f>
        <v>24.151659880585616</v>
      </c>
    </row>
    <row r="95" spans="1:7" x14ac:dyDescent="0.25">
      <c r="A95" t="s">
        <v>140</v>
      </c>
      <c r="B95" t="s">
        <v>329</v>
      </c>
      <c r="C95">
        <v>2023</v>
      </c>
      <c r="D95" t="s">
        <v>212</v>
      </c>
      <c r="E95">
        <v>1438070</v>
      </c>
      <c r="F95">
        <v>1653263010</v>
      </c>
      <c r="G95">
        <f>Table1[[#This Row],[efc_total_gha, Ecological Footprint of Consumption, which is the nationally consumable product, which is derived as EFP + EFI - EFE]]/(Table1[[#This Row],[pop_1000_persons]]*1000)</f>
        <v>1.1496401496450104</v>
      </c>
    </row>
    <row r="96" spans="1:7" x14ac:dyDescent="0.25">
      <c r="A96" t="s">
        <v>121</v>
      </c>
      <c r="B96" t="s">
        <v>330</v>
      </c>
      <c r="C96">
        <v>2023</v>
      </c>
      <c r="D96" t="s">
        <v>212</v>
      </c>
      <c r="E96">
        <v>281190</v>
      </c>
      <c r="F96">
        <v>470535210</v>
      </c>
      <c r="G96">
        <f>Table1[[#This Row],[efc_total_gha, Ecological Footprint of Consumption, which is the nationally consumable product, which is derived as EFP + EFI - EFE]]/(Table1[[#This Row],[pop_1000_persons]]*1000)</f>
        <v>1.6733710658273766</v>
      </c>
    </row>
    <row r="97" spans="1:7" x14ac:dyDescent="0.25">
      <c r="A97" t="s">
        <v>331</v>
      </c>
      <c r="B97" t="s">
        <v>332</v>
      </c>
      <c r="C97">
        <v>2023</v>
      </c>
      <c r="D97" t="s">
        <v>216</v>
      </c>
      <c r="E97">
        <v>90608.7</v>
      </c>
      <c r="G97">
        <f>Table1[[#This Row],[efc_total_gha, Ecological Footprint of Consumption, which is the nationally consumable product, which is derived as EFP + EFI - EFE]]/(Table1[[#This Row],[pop_1000_persons]]*1000)</f>
        <v>0</v>
      </c>
    </row>
    <row r="98" spans="1:7" x14ac:dyDescent="0.25">
      <c r="A98" t="s">
        <v>136</v>
      </c>
      <c r="B98" t="s">
        <v>333</v>
      </c>
      <c r="C98">
        <v>2023</v>
      </c>
      <c r="D98" t="s">
        <v>214</v>
      </c>
      <c r="E98">
        <v>45074.1</v>
      </c>
      <c r="F98">
        <v>94139774</v>
      </c>
      <c r="G98">
        <f>Table1[[#This Row],[efc_total_gha, Ecological Footprint of Consumption, which is the nationally consumable product, which is derived as EFP + EFI - EFE]]/(Table1[[#This Row],[pop_1000_persons]]*1000)</f>
        <v>2.088555822523356</v>
      </c>
    </row>
    <row r="99" spans="1:7" x14ac:dyDescent="0.25">
      <c r="A99" t="s">
        <v>18</v>
      </c>
      <c r="B99" t="s">
        <v>334</v>
      </c>
      <c r="C99">
        <v>2023</v>
      </c>
      <c r="D99" t="s">
        <v>216</v>
      </c>
      <c r="E99">
        <v>5196.63</v>
      </c>
      <c r="G99">
        <f>Table1[[#This Row],[efc_total_gha, Ecological Footprint of Consumption, which is the nationally consumable product, which is derived as EFP + EFI - EFE]]/(Table1[[#This Row],[pop_1000_persons]]*1000)</f>
        <v>0</v>
      </c>
    </row>
    <row r="100" spans="1:7" x14ac:dyDescent="0.25">
      <c r="A100" t="s">
        <v>335</v>
      </c>
      <c r="B100" t="s">
        <v>336</v>
      </c>
      <c r="C100">
        <v>2023</v>
      </c>
      <c r="D100" t="s">
        <v>219</v>
      </c>
      <c r="E100">
        <v>84.165000000000006</v>
      </c>
      <c r="G100">
        <f>Table1[[#This Row],[efc_total_gha, Ecological Footprint of Consumption, which is the nationally consumable product, which is derived as EFP + EFI - EFE]]/(Table1[[#This Row],[pop_1000_persons]]*1000)</f>
        <v>0</v>
      </c>
    </row>
    <row r="101" spans="1:7" x14ac:dyDescent="0.25">
      <c r="A101" t="s">
        <v>34</v>
      </c>
      <c r="B101" t="s">
        <v>337</v>
      </c>
      <c r="C101">
        <v>2023</v>
      </c>
      <c r="D101" t="s">
        <v>212</v>
      </c>
      <c r="E101">
        <v>9256.31</v>
      </c>
      <c r="F101">
        <v>36609402</v>
      </c>
      <c r="G101">
        <f>Table1[[#This Row],[efc_total_gha, Ecological Footprint of Consumption, which is the nationally consumable product, which is derived as EFP + EFI - EFE]]/(Table1[[#This Row],[pop_1000_persons]]*1000)</f>
        <v>3.9550751865484193</v>
      </c>
    </row>
    <row r="102" spans="1:7" x14ac:dyDescent="0.25">
      <c r="A102" t="s">
        <v>37</v>
      </c>
      <c r="B102" t="s">
        <v>338</v>
      </c>
      <c r="C102">
        <v>2023</v>
      </c>
      <c r="D102" t="s">
        <v>212</v>
      </c>
      <c r="E102">
        <v>59533.2</v>
      </c>
      <c r="F102">
        <v>243754723</v>
      </c>
      <c r="G102">
        <f>Table1[[#This Row],[efc_total_gha, Ecological Footprint of Consumption, which is the nationally consumable product, which is derived as EFP + EFI - EFE]]/(Table1[[#This Row],[pop_1000_persons]]*1000)</f>
        <v>4.0944334085854619</v>
      </c>
    </row>
    <row r="103" spans="1:7" x14ac:dyDescent="0.25">
      <c r="A103" t="s">
        <v>125</v>
      </c>
      <c r="B103" t="s">
        <v>339</v>
      </c>
      <c r="C103">
        <v>2023</v>
      </c>
      <c r="D103" t="s">
        <v>214</v>
      </c>
      <c r="E103">
        <v>2839.79</v>
      </c>
      <c r="F103">
        <v>5555602</v>
      </c>
      <c r="G103">
        <f>Table1[[#This Row],[efc_total_gha, Ecological Footprint of Consumption, which is the nationally consumable product, which is derived as EFP + EFI - EFE]]/(Table1[[#This Row],[pop_1000_persons]]*1000)</f>
        <v>1.9563425464558999</v>
      </c>
    </row>
    <row r="104" spans="1:7" x14ac:dyDescent="0.25">
      <c r="A104" t="s">
        <v>30</v>
      </c>
      <c r="B104" t="s">
        <v>340</v>
      </c>
      <c r="C104">
        <v>2023</v>
      </c>
      <c r="D104" t="s">
        <v>212</v>
      </c>
      <c r="E104">
        <v>124371</v>
      </c>
      <c r="F104">
        <v>499041259</v>
      </c>
      <c r="G104">
        <f>Table1[[#This Row],[efc_total_gha, Ecological Footprint of Consumption, which is the nationally consumable product, which is derived as EFP + EFI - EFE]]/(Table1[[#This Row],[pop_1000_persons]]*1000)</f>
        <v>4.0125210780648226</v>
      </c>
    </row>
    <row r="105" spans="1:7" x14ac:dyDescent="0.25">
      <c r="A105" t="s">
        <v>109</v>
      </c>
      <c r="B105" t="s">
        <v>341</v>
      </c>
      <c r="C105">
        <v>2023</v>
      </c>
      <c r="D105" t="s">
        <v>212</v>
      </c>
      <c r="E105">
        <v>11439.2</v>
      </c>
      <c r="F105">
        <v>15906270</v>
      </c>
      <c r="G105">
        <f>Table1[[#This Row],[efc_total_gha, Ecological Footprint of Consumption, which is the nationally consumable product, which is derived as EFP + EFI - EFE]]/(Table1[[#This Row],[pop_1000_persons]]*1000)</f>
        <v>1.390505454926918</v>
      </c>
    </row>
    <row r="106" spans="1:7" x14ac:dyDescent="0.25">
      <c r="A106" t="s">
        <v>68</v>
      </c>
      <c r="B106" t="s">
        <v>342</v>
      </c>
      <c r="C106">
        <v>2023</v>
      </c>
      <c r="D106" t="s">
        <v>216</v>
      </c>
      <c r="E106">
        <v>20330.099999999999</v>
      </c>
      <c r="G106">
        <f>Table1[[#This Row],[efc_total_gha, Ecological Footprint of Consumption, which is the nationally consumable product, which is derived as EFP + EFI - EFE]]/(Table1[[#This Row],[pop_1000_persons]]*1000)</f>
        <v>0</v>
      </c>
    </row>
    <row r="107" spans="1:7" x14ac:dyDescent="0.25">
      <c r="A107" t="s">
        <v>153</v>
      </c>
      <c r="B107" t="s">
        <v>343</v>
      </c>
      <c r="C107">
        <v>2023</v>
      </c>
      <c r="D107" t="s">
        <v>212</v>
      </c>
      <c r="E107">
        <v>55339</v>
      </c>
      <c r="F107">
        <v>56807967</v>
      </c>
      <c r="G107">
        <f>Table1[[#This Row],[efc_total_gha, Ecological Footprint of Consumption, which is the nationally consumable product, which is derived as EFP + EFI - EFE]]/(Table1[[#This Row],[pop_1000_persons]]*1000)</f>
        <v>1.0265448779341875</v>
      </c>
    </row>
    <row r="108" spans="1:7" x14ac:dyDescent="0.25">
      <c r="A108" t="s">
        <v>149</v>
      </c>
      <c r="B108" t="s">
        <v>344</v>
      </c>
      <c r="C108">
        <v>2023</v>
      </c>
      <c r="D108" t="s">
        <v>216</v>
      </c>
      <c r="E108">
        <v>132.53</v>
      </c>
      <c r="G108">
        <f>Table1[[#This Row],[efc_total_gha, Ecological Footprint of Consumption, which is the nationally consumable product, which is derived as EFP + EFI - EFE]]/(Table1[[#This Row],[pop_1000_persons]]*1000)</f>
        <v>0</v>
      </c>
    </row>
    <row r="109" spans="1:7" x14ac:dyDescent="0.25">
      <c r="A109" t="s">
        <v>345</v>
      </c>
      <c r="B109" t="s">
        <v>346</v>
      </c>
      <c r="C109">
        <v>2023</v>
      </c>
      <c r="D109" t="s">
        <v>216</v>
      </c>
      <c r="E109">
        <v>26418.2</v>
      </c>
      <c r="G109">
        <f>Table1[[#This Row],[efc_total_gha, Ecological Footprint of Consumption, which is the nationally consumable product, which is derived as EFP + EFI - EFE]]/(Table1[[#This Row],[pop_1000_persons]]*1000)</f>
        <v>0</v>
      </c>
    </row>
    <row r="110" spans="1:7" x14ac:dyDescent="0.25">
      <c r="A110" t="s">
        <v>347</v>
      </c>
      <c r="B110" t="s">
        <v>348</v>
      </c>
      <c r="C110">
        <v>2023</v>
      </c>
      <c r="D110" t="s">
        <v>212</v>
      </c>
      <c r="E110">
        <v>51748.7</v>
      </c>
      <c r="F110">
        <v>272145505</v>
      </c>
      <c r="G110">
        <f>Table1[[#This Row],[efc_total_gha, Ecological Footprint of Consumption, which is the nationally consumable product, which is derived as EFP + EFI - EFE]]/(Table1[[#This Row],[pop_1000_persons]]*1000)</f>
        <v>5.2589824478682559</v>
      </c>
    </row>
    <row r="111" spans="1:7" x14ac:dyDescent="0.25">
      <c r="A111" t="s">
        <v>59</v>
      </c>
      <c r="B111" t="s">
        <v>349</v>
      </c>
      <c r="C111">
        <v>2023</v>
      </c>
      <c r="D111" t="s">
        <v>216</v>
      </c>
      <c r="E111">
        <v>4838.78</v>
      </c>
      <c r="G111">
        <f>Table1[[#This Row],[efc_total_gha, Ecological Footprint of Consumption, which is the nationally consumable product, which is derived as EFP + EFI - EFE]]/(Table1[[#This Row],[pop_1000_persons]]*1000)</f>
        <v>0</v>
      </c>
    </row>
    <row r="112" spans="1:7" x14ac:dyDescent="0.25">
      <c r="A112" t="s">
        <v>126</v>
      </c>
      <c r="B112" t="s">
        <v>350</v>
      </c>
      <c r="C112">
        <v>2023</v>
      </c>
      <c r="D112" t="s">
        <v>216</v>
      </c>
      <c r="E112">
        <v>7073.52</v>
      </c>
      <c r="G112">
        <f>Table1[[#This Row],[efc_total_gha, Ecological Footprint of Consumption, which is the nationally consumable product, which is derived as EFP + EFI - EFE]]/(Table1[[#This Row],[pop_1000_persons]]*1000)</f>
        <v>0</v>
      </c>
    </row>
    <row r="113" spans="1:7" x14ac:dyDescent="0.25">
      <c r="A113" t="s">
        <v>156</v>
      </c>
      <c r="B113" t="s">
        <v>351</v>
      </c>
      <c r="C113">
        <v>2023</v>
      </c>
      <c r="D113" t="s">
        <v>214</v>
      </c>
      <c r="E113">
        <v>7664.99</v>
      </c>
      <c r="F113">
        <v>7466348</v>
      </c>
      <c r="G113">
        <f>Table1[[#This Row],[efc_total_gha, Ecological Footprint of Consumption, which is the nationally consumable product, which is derived as EFP + EFI - EFE]]/(Table1[[#This Row],[pop_1000_persons]]*1000)</f>
        <v>0.97408450630724897</v>
      </c>
    </row>
    <row r="114" spans="1:7" x14ac:dyDescent="0.25">
      <c r="A114" t="s">
        <v>49</v>
      </c>
      <c r="B114" t="s">
        <v>352</v>
      </c>
      <c r="C114">
        <v>2023</v>
      </c>
      <c r="D114" t="s">
        <v>214</v>
      </c>
      <c r="E114">
        <v>1882.4</v>
      </c>
      <c r="F114">
        <v>12271859</v>
      </c>
      <c r="G114">
        <f>Table1[[#This Row],[efc_total_gha, Ecological Footprint of Consumption, which is the nationally consumable product, which is derived as EFP + EFI - EFE]]/(Table1[[#This Row],[pop_1000_persons]]*1000)</f>
        <v>6.519262112197195</v>
      </c>
    </row>
    <row r="115" spans="1:7" x14ac:dyDescent="0.25">
      <c r="A115" t="s">
        <v>110</v>
      </c>
      <c r="B115" t="s">
        <v>353</v>
      </c>
      <c r="C115">
        <v>2023</v>
      </c>
      <c r="D115" t="s">
        <v>214</v>
      </c>
      <c r="E115">
        <v>5773.49</v>
      </c>
      <c r="F115">
        <v>12997277</v>
      </c>
      <c r="G115">
        <f>Table1[[#This Row],[efc_total_gha, Ecological Footprint of Consumption, which is the nationally consumable product, which is derived as EFP + EFI - EFE]]/(Table1[[#This Row],[pop_1000_persons]]*1000)</f>
        <v>2.2511993612182581</v>
      </c>
    </row>
    <row r="116" spans="1:7" x14ac:dyDescent="0.25">
      <c r="A116" t="s">
        <v>176</v>
      </c>
      <c r="B116" t="s">
        <v>354</v>
      </c>
      <c r="C116">
        <v>2023</v>
      </c>
      <c r="D116" t="s">
        <v>216</v>
      </c>
      <c r="E116">
        <v>2311.4699999999998</v>
      </c>
      <c r="G116">
        <f>Table1[[#This Row],[efc_total_gha, Ecological Footprint of Consumption, which is the nationally consumable product, which is derived as EFP + EFI - EFE]]/(Table1[[#This Row],[pop_1000_persons]]*1000)</f>
        <v>0</v>
      </c>
    </row>
    <row r="117" spans="1:7" x14ac:dyDescent="0.25">
      <c r="A117" t="s">
        <v>187</v>
      </c>
      <c r="B117" t="s">
        <v>355</v>
      </c>
      <c r="C117">
        <v>2023</v>
      </c>
      <c r="D117" t="s">
        <v>214</v>
      </c>
      <c r="E117">
        <v>5493.03</v>
      </c>
      <c r="F117">
        <v>8338350</v>
      </c>
      <c r="G117">
        <f>Table1[[#This Row],[efc_total_gha, Ecological Footprint of Consumption, which is the nationally consumable product, which is derived as EFP + EFI - EFE]]/(Table1[[#This Row],[pop_1000_persons]]*1000)</f>
        <v>1.5179873403203696</v>
      </c>
    </row>
    <row r="118" spans="1:7" x14ac:dyDescent="0.25">
      <c r="A118" t="s">
        <v>356</v>
      </c>
      <c r="B118" t="s">
        <v>357</v>
      </c>
      <c r="C118">
        <v>2023</v>
      </c>
      <c r="D118" t="s">
        <v>216</v>
      </c>
      <c r="E118">
        <v>7305.66</v>
      </c>
      <c r="G118">
        <f>Table1[[#This Row],[efc_total_gha, Ecological Footprint of Consumption, which is the nationally consumable product, which is derived as EFP + EFI - EFE]]/(Table1[[#This Row],[pop_1000_persons]]*1000)</f>
        <v>0</v>
      </c>
    </row>
    <row r="119" spans="1:7" x14ac:dyDescent="0.25">
      <c r="A119" t="s">
        <v>24</v>
      </c>
      <c r="B119" t="s">
        <v>358</v>
      </c>
      <c r="C119">
        <v>2023</v>
      </c>
      <c r="D119" t="s">
        <v>219</v>
      </c>
      <c r="E119">
        <v>39.597999999999999</v>
      </c>
      <c r="G119">
        <f>Table1[[#This Row],[efc_total_gha, Ecological Footprint of Consumption, which is the nationally consumable product, which is derived as EFP + EFI - EFE]]/(Table1[[#This Row],[pop_1000_persons]]*1000)</f>
        <v>0</v>
      </c>
    </row>
    <row r="120" spans="1:7" x14ac:dyDescent="0.25">
      <c r="A120" t="s">
        <v>46</v>
      </c>
      <c r="B120" t="s">
        <v>359</v>
      </c>
      <c r="C120">
        <v>2023</v>
      </c>
      <c r="D120" t="s">
        <v>212</v>
      </c>
      <c r="E120">
        <v>2854.1</v>
      </c>
      <c r="F120">
        <v>15415355</v>
      </c>
      <c r="G120">
        <f>Table1[[#This Row],[efc_total_gha, Ecological Footprint of Consumption, which is the nationally consumable product, which is derived as EFP + EFI - EFE]]/(Table1[[#This Row],[pop_1000_persons]]*1000)</f>
        <v>5.4011264496688973</v>
      </c>
    </row>
    <row r="121" spans="1:7" x14ac:dyDescent="0.25">
      <c r="A121" t="s">
        <v>32</v>
      </c>
      <c r="B121" t="s">
        <v>360</v>
      </c>
      <c r="C121">
        <v>2023</v>
      </c>
      <c r="D121" t="s">
        <v>212</v>
      </c>
      <c r="E121">
        <v>665.09799999999996</v>
      </c>
      <c r="F121">
        <v>7074596</v>
      </c>
      <c r="G121">
        <f>Table1[[#This Row],[efc_total_gha, Ecological Footprint of Consumption, which is the nationally consumable product, which is derived as EFP + EFI - EFE]]/(Table1[[#This Row],[pop_1000_persons]]*1000)</f>
        <v>10.636922679063836</v>
      </c>
    </row>
    <row r="122" spans="1:7" x14ac:dyDescent="0.25">
      <c r="A122" t="s">
        <v>193</v>
      </c>
      <c r="B122" t="s">
        <v>361</v>
      </c>
      <c r="C122">
        <v>2023</v>
      </c>
      <c r="D122" t="s">
        <v>212</v>
      </c>
      <c r="E122">
        <v>31195.9</v>
      </c>
      <c r="F122">
        <v>22005314</v>
      </c>
      <c r="G122">
        <f>Table1[[#This Row],[efc_total_gha, Ecological Footprint of Consumption, which is the nationally consumable product, which is derived as EFP + EFI - EFE]]/(Table1[[#This Row],[pop_1000_persons]]*1000)</f>
        <v>0.70539122128228393</v>
      </c>
    </row>
    <row r="123" spans="1:7" x14ac:dyDescent="0.25">
      <c r="A123" t="s">
        <v>182</v>
      </c>
      <c r="B123" t="s">
        <v>362</v>
      </c>
      <c r="C123">
        <v>2023</v>
      </c>
      <c r="D123" t="s">
        <v>212</v>
      </c>
      <c r="E123">
        <v>21104.5</v>
      </c>
      <c r="F123">
        <v>17147325</v>
      </c>
      <c r="G123">
        <f>Table1[[#This Row],[efc_total_gha, Ecological Footprint of Consumption, which is the nationally consumable product, which is derived as EFP + EFI - EFE]]/(Table1[[#This Row],[pop_1000_persons]]*1000)</f>
        <v>0.81249615011016607</v>
      </c>
    </row>
    <row r="124" spans="1:7" x14ac:dyDescent="0.25">
      <c r="A124" t="s">
        <v>74</v>
      </c>
      <c r="B124" t="s">
        <v>363</v>
      </c>
      <c r="C124">
        <v>2023</v>
      </c>
      <c r="D124" t="s">
        <v>214</v>
      </c>
      <c r="E124">
        <v>35126.300000000003</v>
      </c>
      <c r="F124">
        <v>144917607</v>
      </c>
      <c r="G124">
        <f>Table1[[#This Row],[efc_total_gha, Ecological Footprint of Consumption, which is the nationally consumable product, which is derived as EFP + EFI - EFE]]/(Table1[[#This Row],[pop_1000_persons]]*1000)</f>
        <v>4.1256154790000652</v>
      </c>
    </row>
    <row r="125" spans="1:7" x14ac:dyDescent="0.25">
      <c r="A125" t="s">
        <v>101</v>
      </c>
      <c r="B125" t="s">
        <v>364</v>
      </c>
      <c r="C125">
        <v>2023</v>
      </c>
      <c r="D125" t="s">
        <v>219</v>
      </c>
      <c r="E125">
        <v>525.99400000000003</v>
      </c>
      <c r="G125">
        <f>Table1[[#This Row],[efc_total_gha, Ecological Footprint of Consumption, which is the nationally consumable product, which is derived as EFP + EFI - EFE]]/(Table1[[#This Row],[pop_1000_persons]]*1000)</f>
        <v>0</v>
      </c>
    </row>
    <row r="126" spans="1:7" x14ac:dyDescent="0.25">
      <c r="A126" t="s">
        <v>198</v>
      </c>
      <c r="B126" t="s">
        <v>365</v>
      </c>
      <c r="C126">
        <v>2023</v>
      </c>
      <c r="D126" t="s">
        <v>212</v>
      </c>
      <c r="E126">
        <v>23769.1</v>
      </c>
      <c r="F126">
        <v>27759062</v>
      </c>
      <c r="G126">
        <f>Table1[[#This Row],[efc_total_gha, Ecological Footprint of Consumption, which is the nationally consumable product, which is derived as EFP + EFI - EFE]]/(Table1[[#This Row],[pop_1000_persons]]*1000)</f>
        <v>1.1678634024847385</v>
      </c>
    </row>
    <row r="127" spans="1:7" x14ac:dyDescent="0.25">
      <c r="A127" t="s">
        <v>31</v>
      </c>
      <c r="B127" t="s">
        <v>366</v>
      </c>
      <c r="C127">
        <v>2023</v>
      </c>
      <c r="D127" t="s">
        <v>214</v>
      </c>
      <c r="E127">
        <v>532.95600000000002</v>
      </c>
      <c r="F127">
        <v>2604623</v>
      </c>
      <c r="G127">
        <f>Table1[[#This Row],[efc_total_gha, Ecological Footprint of Consumption, which is the nationally consumable product, which is derived as EFP + EFI - EFE]]/(Table1[[#This Row],[pop_1000_persons]]*1000)</f>
        <v>4.8871257664797847</v>
      </c>
    </row>
    <row r="128" spans="1:7" x14ac:dyDescent="0.25">
      <c r="A128" t="s">
        <v>118</v>
      </c>
      <c r="B128" t="s">
        <v>367</v>
      </c>
      <c r="C128">
        <v>2023</v>
      </c>
      <c r="D128" t="s">
        <v>219</v>
      </c>
      <c r="E128">
        <v>38.826999999999998</v>
      </c>
      <c r="G128">
        <f>Table1[[#This Row],[efc_total_gha, Ecological Footprint of Consumption, which is the nationally consumable product, which is derived as EFP + EFI - EFE]]/(Table1[[#This Row],[pop_1000_persons]]*1000)</f>
        <v>0</v>
      </c>
    </row>
    <row r="129" spans="1:7" x14ac:dyDescent="0.25">
      <c r="A129" t="s">
        <v>368</v>
      </c>
      <c r="B129" t="s">
        <v>369</v>
      </c>
      <c r="C129">
        <v>2023</v>
      </c>
      <c r="D129" t="s">
        <v>216</v>
      </c>
      <c r="E129">
        <v>346.00200000000001</v>
      </c>
      <c r="G129">
        <f>Table1[[#This Row],[efc_total_gha, Ecological Footprint of Consumption, which is the nationally consumable product, which is derived as EFP + EFI - EFE]]/(Table1[[#This Row],[pop_1000_persons]]*1000)</f>
        <v>0</v>
      </c>
    </row>
    <row r="130" spans="1:7" x14ac:dyDescent="0.25">
      <c r="A130" t="s">
        <v>172</v>
      </c>
      <c r="B130" t="s">
        <v>370</v>
      </c>
      <c r="C130">
        <v>2023</v>
      </c>
      <c r="D130" t="s">
        <v>216</v>
      </c>
      <c r="E130">
        <v>5022.4399999999996</v>
      </c>
      <c r="G130">
        <f>Table1[[#This Row],[efc_total_gha, Ecological Footprint of Consumption, which is the nationally consumable product, which is derived as EFP + EFI - EFE]]/(Table1[[#This Row],[pop_1000_persons]]*1000)</f>
        <v>0</v>
      </c>
    </row>
    <row r="131" spans="1:7" x14ac:dyDescent="0.25">
      <c r="A131" t="s">
        <v>80</v>
      </c>
      <c r="B131" t="s">
        <v>371</v>
      </c>
      <c r="C131">
        <v>2023</v>
      </c>
      <c r="D131" t="s">
        <v>212</v>
      </c>
      <c r="E131">
        <v>1273.5899999999999</v>
      </c>
      <c r="F131">
        <v>4265172</v>
      </c>
      <c r="G131">
        <f>Table1[[#This Row],[efc_total_gha, Ecological Footprint of Consumption, which is the nationally consumable product, which is derived as EFP + EFI - EFE]]/(Table1[[#This Row],[pop_1000_persons]]*1000)</f>
        <v>3.3489364709207829</v>
      </c>
    </row>
    <row r="132" spans="1:7" x14ac:dyDescent="0.25">
      <c r="A132" t="s">
        <v>372</v>
      </c>
      <c r="B132" t="s">
        <v>373</v>
      </c>
      <c r="C132">
        <v>2023</v>
      </c>
      <c r="D132" t="s">
        <v>219</v>
      </c>
      <c r="E132">
        <v>316.01499999999999</v>
      </c>
      <c r="G132">
        <f>Table1[[#This Row],[efc_total_gha, Ecological Footprint of Consumption, which is the nationally consumable product, which is derived as EFP + EFI - EFE]]/(Table1[[#This Row],[pop_1000_persons]]*1000)</f>
        <v>0</v>
      </c>
    </row>
    <row r="133" spans="1:7" x14ac:dyDescent="0.25">
      <c r="A133" t="s">
        <v>90</v>
      </c>
      <c r="B133" t="s">
        <v>374</v>
      </c>
      <c r="C133">
        <v>2023</v>
      </c>
      <c r="D133" t="s">
        <v>212</v>
      </c>
      <c r="E133">
        <v>129740</v>
      </c>
      <c r="F133">
        <v>340470666</v>
      </c>
      <c r="G133">
        <f>Table1[[#This Row],[efc_total_gha, Ecological Footprint of Consumption, which is the nationally consumable product, which is derived as EFP + EFI - EFE]]/(Table1[[#This Row],[pop_1000_persons]]*1000)</f>
        <v>2.6242536303375981</v>
      </c>
    </row>
    <row r="134" spans="1:7" x14ac:dyDescent="0.25">
      <c r="A134" t="s">
        <v>375</v>
      </c>
      <c r="B134" t="s">
        <v>376</v>
      </c>
      <c r="C134">
        <v>2023</v>
      </c>
      <c r="D134" t="s">
        <v>216</v>
      </c>
      <c r="E134">
        <v>112.63</v>
      </c>
      <c r="G134">
        <f>Table1[[#This Row],[efc_total_gha, Ecological Footprint of Consumption, which is the nationally consumable product, which is derived as EFP + EFI - EFE]]/(Table1[[#This Row],[pop_1000_persons]]*1000)</f>
        <v>0</v>
      </c>
    </row>
    <row r="135" spans="1:7" x14ac:dyDescent="0.25">
      <c r="A135" t="s">
        <v>112</v>
      </c>
      <c r="B135" t="s">
        <v>377</v>
      </c>
      <c r="C135">
        <v>2023</v>
      </c>
      <c r="D135" t="s">
        <v>212</v>
      </c>
      <c r="E135">
        <v>3431.93</v>
      </c>
      <c r="F135">
        <v>26329752</v>
      </c>
      <c r="G135">
        <f>Table1[[#This Row],[efc_total_gha, Ecological Footprint of Consumption, which is the nationally consumable product, which is derived as EFP + EFI - EFE]]/(Table1[[#This Row],[pop_1000_persons]]*1000)</f>
        <v>7.671995640936732</v>
      </c>
    </row>
    <row r="136" spans="1:7" x14ac:dyDescent="0.25">
      <c r="A136" t="s">
        <v>55</v>
      </c>
      <c r="B136" t="s">
        <v>378</v>
      </c>
      <c r="C136">
        <v>2023</v>
      </c>
      <c r="D136" t="s">
        <v>212</v>
      </c>
      <c r="E136">
        <v>633.55200000000002</v>
      </c>
      <c r="F136">
        <v>2965011</v>
      </c>
      <c r="G136">
        <f>Table1[[#This Row],[efc_total_gha, Ecological Footprint of Consumption, which is the nationally consumable product, which is derived as EFP + EFI - EFE]]/(Table1[[#This Row],[pop_1000_persons]]*1000)</f>
        <v>4.6799804909462841</v>
      </c>
    </row>
    <row r="137" spans="1:7" x14ac:dyDescent="0.25">
      <c r="A137" t="s">
        <v>379</v>
      </c>
      <c r="B137" t="s">
        <v>380</v>
      </c>
      <c r="C137">
        <v>2023</v>
      </c>
      <c r="D137" t="s">
        <v>219</v>
      </c>
      <c r="E137">
        <v>4.42</v>
      </c>
      <c r="G137">
        <f>Table1[[#This Row],[efc_total_gha, Ecological Footprint of Consumption, which is the nationally consumable product, which is derived as EFP + EFI - EFE]]/(Table1[[#This Row],[pop_1000_persons]]*1000)</f>
        <v>0</v>
      </c>
    </row>
    <row r="138" spans="1:7" x14ac:dyDescent="0.25">
      <c r="A138" t="s">
        <v>128</v>
      </c>
      <c r="B138" t="s">
        <v>381</v>
      </c>
      <c r="C138">
        <v>2023</v>
      </c>
      <c r="D138" t="s">
        <v>216</v>
      </c>
      <c r="E138">
        <v>37712.5</v>
      </c>
      <c r="G138">
        <f>Table1[[#This Row],[efc_total_gha, Ecological Footprint of Consumption, which is the nationally consumable product, which is derived as EFP + EFI - EFE]]/(Table1[[#This Row],[pop_1000_persons]]*1000)</f>
        <v>0</v>
      </c>
    </row>
    <row r="139" spans="1:7" x14ac:dyDescent="0.25">
      <c r="A139" t="s">
        <v>192</v>
      </c>
      <c r="B139" t="s">
        <v>382</v>
      </c>
      <c r="C139">
        <v>2023</v>
      </c>
      <c r="D139" t="s">
        <v>212</v>
      </c>
      <c r="E139">
        <v>33635.199999999997</v>
      </c>
      <c r="F139">
        <v>21285939</v>
      </c>
      <c r="G139">
        <f>Table1[[#This Row],[efc_total_gha, Ecological Footprint of Consumption, which is the nationally consumable product, which is derived as EFP + EFI - EFE]]/(Table1[[#This Row],[pop_1000_persons]]*1000)</f>
        <v>0.63284710660260679</v>
      </c>
    </row>
    <row r="140" spans="1:7" x14ac:dyDescent="0.25">
      <c r="A140" t="s">
        <v>159</v>
      </c>
      <c r="B140" t="s">
        <v>383</v>
      </c>
      <c r="C140">
        <v>2023</v>
      </c>
      <c r="D140" t="s">
        <v>212</v>
      </c>
      <c r="E140">
        <v>54133.8</v>
      </c>
      <c r="F140">
        <v>61828162</v>
      </c>
      <c r="G140">
        <f>Table1[[#This Row],[efc_total_gha, Ecological Footprint of Consumption, which is the nationally consumable product, which is derived as EFP + EFI - EFE]]/(Table1[[#This Row],[pop_1000_persons]]*1000)</f>
        <v>1.1421360037536623</v>
      </c>
    </row>
    <row r="141" spans="1:7" x14ac:dyDescent="0.25">
      <c r="A141" t="s">
        <v>145</v>
      </c>
      <c r="B141" t="s">
        <v>384</v>
      </c>
      <c r="C141">
        <v>2023</v>
      </c>
      <c r="D141" t="s">
        <v>216</v>
      </c>
      <c r="E141">
        <v>2963.09</v>
      </c>
      <c r="G141">
        <f>Table1[[#This Row],[efc_total_gha, Ecological Footprint of Consumption, which is the nationally consumable product, which is derived as EFP + EFI - EFE]]/(Table1[[#This Row],[pop_1000_persons]]*1000)</f>
        <v>0</v>
      </c>
    </row>
    <row r="142" spans="1:7" x14ac:dyDescent="0.25">
      <c r="A142" t="s">
        <v>132</v>
      </c>
      <c r="B142" t="s">
        <v>385</v>
      </c>
      <c r="C142">
        <v>2023</v>
      </c>
      <c r="D142" t="s">
        <v>219</v>
      </c>
      <c r="E142">
        <v>11.875</v>
      </c>
      <c r="G142">
        <f>Table1[[#This Row],[efc_total_gha, Ecological Footprint of Consumption, which is the nationally consumable product, which is derived as EFP + EFI - EFE]]/(Table1[[#This Row],[pop_1000_persons]]*1000)</f>
        <v>0</v>
      </c>
    </row>
    <row r="143" spans="1:7" x14ac:dyDescent="0.25">
      <c r="A143" t="s">
        <v>154</v>
      </c>
      <c r="B143" t="s">
        <v>386</v>
      </c>
      <c r="C143">
        <v>2023</v>
      </c>
      <c r="D143" t="s">
        <v>212</v>
      </c>
      <c r="E143">
        <v>29694.6</v>
      </c>
      <c r="F143">
        <v>25969945</v>
      </c>
      <c r="G143">
        <f>Table1[[#This Row],[efc_total_gha, Ecological Footprint of Consumption, which is the nationally consumable product, which is derived as EFP + EFI - EFE]]/(Table1[[#This Row],[pop_1000_persons]]*1000)</f>
        <v>0.87456793491072449</v>
      </c>
    </row>
    <row r="144" spans="1:7" x14ac:dyDescent="0.25">
      <c r="A144" t="s">
        <v>16</v>
      </c>
      <c r="B144" t="s">
        <v>387</v>
      </c>
      <c r="C144">
        <v>2023</v>
      </c>
      <c r="D144" t="s">
        <v>216</v>
      </c>
      <c r="E144">
        <v>18092.5</v>
      </c>
      <c r="G144">
        <f>Table1[[#This Row],[efc_total_gha, Ecological Footprint of Consumption, which is the nationally consumable product, which is derived as EFP + EFI - EFE]]/(Table1[[#This Row],[pop_1000_persons]]*1000)</f>
        <v>0</v>
      </c>
    </row>
    <row r="145" spans="1:7" x14ac:dyDescent="0.25">
      <c r="A145" t="s">
        <v>388</v>
      </c>
      <c r="B145" t="s">
        <v>389</v>
      </c>
      <c r="C145">
        <v>2023</v>
      </c>
      <c r="D145" t="s">
        <v>219</v>
      </c>
      <c r="E145">
        <v>289.87</v>
      </c>
      <c r="G145">
        <f>Table1[[#This Row],[efc_total_gha, Ecological Footprint of Consumption, which is the nationally consumable product, which is derived as EFP + EFI - EFE]]/(Table1[[#This Row],[pop_1000_persons]]*1000)</f>
        <v>0</v>
      </c>
    </row>
    <row r="146" spans="1:7" x14ac:dyDescent="0.25">
      <c r="A146" t="s">
        <v>25</v>
      </c>
      <c r="B146" t="s">
        <v>390</v>
      </c>
      <c r="C146">
        <v>2023</v>
      </c>
      <c r="D146" t="s">
        <v>216</v>
      </c>
      <c r="E146">
        <v>5172.84</v>
      </c>
      <c r="G146">
        <f>Table1[[#This Row],[efc_total_gha, Ecological Footprint of Consumption, which is the nationally consumable product, which is derived as EFP + EFI - EFE]]/(Table1[[#This Row],[pop_1000_persons]]*1000)</f>
        <v>0</v>
      </c>
    </row>
    <row r="147" spans="1:7" x14ac:dyDescent="0.25">
      <c r="A147" t="s">
        <v>131</v>
      </c>
      <c r="B147" t="s">
        <v>391</v>
      </c>
      <c r="C147">
        <v>2023</v>
      </c>
      <c r="D147" t="s">
        <v>216</v>
      </c>
      <c r="E147">
        <v>6823.61</v>
      </c>
      <c r="G147">
        <f>Table1[[#This Row],[efc_total_gha, Ecological Footprint of Consumption, which is the nationally consumable product, which is derived as EFP + EFI - EFE]]/(Table1[[#This Row],[pop_1000_persons]]*1000)</f>
        <v>0</v>
      </c>
    </row>
    <row r="148" spans="1:7" x14ac:dyDescent="0.25">
      <c r="A148" t="s">
        <v>199</v>
      </c>
      <c r="B148" t="s">
        <v>392</v>
      </c>
      <c r="C148">
        <v>2023</v>
      </c>
      <c r="D148" t="s">
        <v>212</v>
      </c>
      <c r="E148">
        <v>26159.9</v>
      </c>
      <c r="F148">
        <v>32938675</v>
      </c>
      <c r="G148">
        <f>Table1[[#This Row],[efc_total_gha, Ecological Footprint of Consumption, which is the nationally consumable product, which is derived as EFP + EFI - EFE]]/(Table1[[#This Row],[pop_1000_persons]]*1000)</f>
        <v>1.2591284752617555</v>
      </c>
    </row>
    <row r="149" spans="1:7" x14ac:dyDescent="0.25">
      <c r="A149" t="s">
        <v>173</v>
      </c>
      <c r="B149" t="s">
        <v>393</v>
      </c>
      <c r="C149">
        <v>2023</v>
      </c>
      <c r="D149" t="s">
        <v>212</v>
      </c>
      <c r="E149">
        <v>227883</v>
      </c>
      <c r="F149">
        <v>175204995</v>
      </c>
      <c r="G149">
        <f>Table1[[#This Row],[efc_total_gha, Ecological Footprint of Consumption, which is the nationally consumable product, which is derived as EFP + EFI - EFE]]/(Table1[[#This Row],[pop_1000_persons]]*1000)</f>
        <v>0.76883749555693048</v>
      </c>
    </row>
    <row r="150" spans="1:7" x14ac:dyDescent="0.25">
      <c r="A150" t="s">
        <v>394</v>
      </c>
      <c r="B150" t="s">
        <v>395</v>
      </c>
      <c r="C150">
        <v>2023</v>
      </c>
      <c r="D150" t="s">
        <v>219</v>
      </c>
      <c r="E150">
        <v>1.8169999999999999</v>
      </c>
      <c r="G150">
        <f>Table1[[#This Row],[efc_total_gha, Ecological Footprint of Consumption, which is the nationally consumable product, which is derived as EFP + EFI - EFE]]/(Table1[[#This Row],[pop_1000_persons]]*1000)</f>
        <v>0</v>
      </c>
    </row>
    <row r="151" spans="1:7" x14ac:dyDescent="0.25">
      <c r="A151" t="s">
        <v>75</v>
      </c>
      <c r="B151" t="s">
        <v>396</v>
      </c>
      <c r="C151">
        <v>2023</v>
      </c>
      <c r="D151" t="s">
        <v>216</v>
      </c>
      <c r="E151">
        <v>3067.07</v>
      </c>
      <c r="G151">
        <f>Table1[[#This Row],[efc_total_gha, Ecological Footprint of Consumption, which is the nationally consumable product, which is derived as EFP + EFI - EFE]]/(Table1[[#This Row],[pop_1000_persons]]*1000)</f>
        <v>0</v>
      </c>
    </row>
    <row r="152" spans="1:7" x14ac:dyDescent="0.25">
      <c r="A152" t="s">
        <v>397</v>
      </c>
      <c r="B152" t="s">
        <v>398</v>
      </c>
      <c r="C152">
        <v>2023</v>
      </c>
      <c r="D152" t="s">
        <v>219</v>
      </c>
      <c r="E152">
        <v>45.143000000000001</v>
      </c>
      <c r="G152">
        <f>Table1[[#This Row],[efc_total_gha, Ecological Footprint of Consumption, which is the nationally consumable product, which is derived as EFP + EFI - EFE]]/(Table1[[#This Row],[pop_1000_persons]]*1000)</f>
        <v>0</v>
      </c>
    </row>
    <row r="153" spans="1:7" x14ac:dyDescent="0.25">
      <c r="A153" t="s">
        <v>9</v>
      </c>
      <c r="B153" t="s">
        <v>399</v>
      </c>
      <c r="C153">
        <v>2023</v>
      </c>
      <c r="D153" t="s">
        <v>214</v>
      </c>
      <c r="E153">
        <v>5519.17</v>
      </c>
      <c r="F153">
        <v>24153187</v>
      </c>
      <c r="G153">
        <f>Table1[[#This Row],[efc_total_gha, Ecological Footprint of Consumption, which is the nationally consumable product, which is derived as EFP + EFI - EFE]]/(Table1[[#This Row],[pop_1000_persons]]*1000)</f>
        <v>4.3762353759713868</v>
      </c>
    </row>
    <row r="154" spans="1:7" x14ac:dyDescent="0.25">
      <c r="A154" t="s">
        <v>57</v>
      </c>
      <c r="B154" t="s">
        <v>400</v>
      </c>
      <c r="C154">
        <v>2023</v>
      </c>
      <c r="D154" t="s">
        <v>212</v>
      </c>
      <c r="E154">
        <v>5049.2700000000004</v>
      </c>
      <c r="F154">
        <v>26596742</v>
      </c>
      <c r="G154">
        <f>Table1[[#This Row],[efc_total_gha, Ecological Footprint of Consumption, which is the nationally consumable product, which is derived as EFP + EFI - EFE]]/(Table1[[#This Row],[pop_1000_persons]]*1000)</f>
        <v>5.2674430165152586</v>
      </c>
    </row>
    <row r="155" spans="1:7" x14ac:dyDescent="0.25">
      <c r="A155" t="s">
        <v>178</v>
      </c>
      <c r="B155" t="s">
        <v>401</v>
      </c>
      <c r="C155">
        <v>2023</v>
      </c>
      <c r="D155" t="s">
        <v>212</v>
      </c>
      <c r="E155">
        <v>247504</v>
      </c>
      <c r="F155">
        <v>181497749</v>
      </c>
      <c r="G155">
        <f>Table1[[#This Row],[efc_total_gha, Ecological Footprint of Consumption, which is the nationally consumable product, which is derived as EFP + EFI - EFE]]/(Table1[[#This Row],[pop_1000_persons]]*1000)</f>
        <v>0.73331238687051525</v>
      </c>
    </row>
    <row r="156" spans="1:7" x14ac:dyDescent="0.25">
      <c r="A156" t="s">
        <v>93</v>
      </c>
      <c r="B156" t="s">
        <v>402</v>
      </c>
      <c r="C156">
        <v>2023</v>
      </c>
      <c r="D156" t="s">
        <v>219</v>
      </c>
      <c r="E156">
        <v>17.727</v>
      </c>
      <c r="G156">
        <f>Table1[[#This Row],[efc_total_gha, Ecological Footprint of Consumption, which is the nationally consumable product, which is derived as EFP + EFI - EFE]]/(Table1[[#This Row],[pop_1000_persons]]*1000)</f>
        <v>0</v>
      </c>
    </row>
    <row r="157" spans="1:7" x14ac:dyDescent="0.25">
      <c r="A157" t="s">
        <v>66</v>
      </c>
      <c r="B157" t="s">
        <v>403</v>
      </c>
      <c r="C157">
        <v>2023</v>
      </c>
      <c r="D157" t="s">
        <v>216</v>
      </c>
      <c r="E157">
        <v>4458.76</v>
      </c>
      <c r="G157">
        <f>Table1[[#This Row],[efc_total_gha, Ecological Footprint of Consumption, which is the nationally consumable product, which is derived as EFP + EFI - EFE]]/(Table1[[#This Row],[pop_1000_persons]]*1000)</f>
        <v>0</v>
      </c>
    </row>
    <row r="158" spans="1:7" x14ac:dyDescent="0.25">
      <c r="A158" t="s">
        <v>169</v>
      </c>
      <c r="B158" t="s">
        <v>404</v>
      </c>
      <c r="C158">
        <v>2023</v>
      </c>
      <c r="D158" t="s">
        <v>216</v>
      </c>
      <c r="E158">
        <v>10389.6</v>
      </c>
      <c r="G158">
        <f>Table1[[#This Row],[efc_total_gha, Ecological Footprint of Consumption, which is the nationally consumable product, which is derived as EFP + EFI - EFE]]/(Table1[[#This Row],[pop_1000_persons]]*1000)</f>
        <v>0</v>
      </c>
    </row>
    <row r="159" spans="1:7" x14ac:dyDescent="0.25">
      <c r="A159" t="s">
        <v>107</v>
      </c>
      <c r="B159" t="s">
        <v>405</v>
      </c>
      <c r="C159">
        <v>2023</v>
      </c>
      <c r="D159" t="s">
        <v>214</v>
      </c>
      <c r="E159">
        <v>6844.15</v>
      </c>
      <c r="F159">
        <v>16692686</v>
      </c>
      <c r="G159">
        <f>Table1[[#This Row],[efc_total_gha, Ecological Footprint of Consumption, which is the nationally consumable product, which is derived as EFP + EFI - EFE]]/(Table1[[#This Row],[pop_1000_persons]]*1000)</f>
        <v>2.4389713843209164</v>
      </c>
    </row>
    <row r="160" spans="1:7" x14ac:dyDescent="0.25">
      <c r="A160" t="s">
        <v>87</v>
      </c>
      <c r="B160" t="s">
        <v>406</v>
      </c>
      <c r="C160">
        <v>2023</v>
      </c>
      <c r="D160" t="s">
        <v>212</v>
      </c>
      <c r="E160">
        <v>33845.599999999999</v>
      </c>
      <c r="F160">
        <v>80104437</v>
      </c>
      <c r="G160">
        <f>Table1[[#This Row],[efc_total_gha, Ecological Footprint of Consumption, which is the nationally consumable product, which is derived as EFP + EFI - EFE]]/(Table1[[#This Row],[pop_1000_persons]]*1000)</f>
        <v>2.3667607310846903</v>
      </c>
    </row>
    <row r="161" spans="1:7" x14ac:dyDescent="0.25">
      <c r="A161" t="s">
        <v>127</v>
      </c>
      <c r="B161" t="s">
        <v>407</v>
      </c>
      <c r="C161">
        <v>2023</v>
      </c>
      <c r="D161" t="s">
        <v>212</v>
      </c>
      <c r="E161">
        <v>114891</v>
      </c>
      <c r="F161">
        <v>167009228</v>
      </c>
      <c r="G161">
        <f>Table1[[#This Row],[efc_total_gha, Ecological Footprint of Consumption, which is the nationally consumable product, which is derived as EFP + EFI - EFE]]/(Table1[[#This Row],[pop_1000_persons]]*1000)</f>
        <v>1.4536319468017511</v>
      </c>
    </row>
    <row r="162" spans="1:7" x14ac:dyDescent="0.25">
      <c r="A162" t="s">
        <v>42</v>
      </c>
      <c r="B162" t="s">
        <v>408</v>
      </c>
      <c r="C162">
        <v>2023</v>
      </c>
      <c r="D162" t="s">
        <v>212</v>
      </c>
      <c r="E162">
        <v>38762.800000000003</v>
      </c>
      <c r="F162">
        <v>168299989</v>
      </c>
      <c r="G162">
        <f>Table1[[#This Row],[efc_total_gha, Ecological Footprint of Consumption, which is the nationally consumable product, which is derived as EFP + EFI - EFE]]/(Table1[[#This Row],[pop_1000_persons]]*1000)</f>
        <v>4.3417913308636118</v>
      </c>
    </row>
    <row r="163" spans="1:7" x14ac:dyDescent="0.25">
      <c r="A163" t="s">
        <v>47</v>
      </c>
      <c r="B163" t="s">
        <v>409</v>
      </c>
      <c r="C163">
        <v>2023</v>
      </c>
      <c r="D163" t="s">
        <v>212</v>
      </c>
      <c r="E163">
        <v>10430.700000000001</v>
      </c>
      <c r="F163">
        <v>46102527</v>
      </c>
      <c r="G163">
        <f>Table1[[#This Row],[efc_total_gha, Ecological Footprint of Consumption, which is the nationally consumable product, which is derived as EFP + EFI - EFE]]/(Table1[[#This Row],[pop_1000_persons]]*1000)</f>
        <v>4.419888118726452</v>
      </c>
    </row>
    <row r="164" spans="1:7" x14ac:dyDescent="0.25">
      <c r="A164" t="s">
        <v>410</v>
      </c>
      <c r="B164" t="s">
        <v>411</v>
      </c>
      <c r="C164">
        <v>2023</v>
      </c>
      <c r="D164" t="s">
        <v>219</v>
      </c>
      <c r="E164">
        <v>3242.02</v>
      </c>
      <c r="G164">
        <f>Table1[[#This Row],[efc_total_gha, Ecological Footprint of Consumption, which is the nationally consumable product, which is derived as EFP + EFI - EFE]]/(Table1[[#This Row],[pop_1000_persons]]*1000)</f>
        <v>0</v>
      </c>
    </row>
    <row r="165" spans="1:7" x14ac:dyDescent="0.25">
      <c r="A165" s="12" t="s">
        <v>50</v>
      </c>
      <c r="B165" t="s">
        <v>412</v>
      </c>
      <c r="C165">
        <v>2023</v>
      </c>
      <c r="D165" t="s">
        <v>214</v>
      </c>
      <c r="E165">
        <v>2979.08</v>
      </c>
      <c r="F165">
        <v>35914068</v>
      </c>
      <c r="G165">
        <f>Table1[[#This Row],[efc_total_gha, Ecological Footprint of Consumption, which is the nationally consumable product, which is derived as EFP + EFI - EFE]]/(Table1[[#This Row],[pop_1000_persons]]*1000)</f>
        <v>12.055422479423177</v>
      </c>
    </row>
    <row r="166" spans="1:7" x14ac:dyDescent="0.25">
      <c r="A166" t="s">
        <v>413</v>
      </c>
      <c r="B166" t="s">
        <v>414</v>
      </c>
      <c r="C166">
        <v>2023</v>
      </c>
      <c r="D166" t="s">
        <v>214</v>
      </c>
      <c r="E166">
        <v>1831.8</v>
      </c>
      <c r="F166">
        <v>5881720</v>
      </c>
      <c r="G166">
        <f>Table1[[#This Row],[efc_total_gha, Ecological Footprint of Consumption, which is the nationally consumable product, which is derived as EFP + EFI - EFE]]/(Table1[[#This Row],[pop_1000_persons]]*1000)</f>
        <v>3.2108963860683479</v>
      </c>
    </row>
    <row r="167" spans="1:7" x14ac:dyDescent="0.25">
      <c r="A167" t="s">
        <v>415</v>
      </c>
      <c r="B167" t="s">
        <v>416</v>
      </c>
      <c r="C167">
        <v>2023</v>
      </c>
      <c r="D167" t="s">
        <v>219</v>
      </c>
      <c r="E167">
        <v>874.88300000000004</v>
      </c>
      <c r="G167">
        <f>Table1[[#This Row],[efc_total_gha, Ecological Footprint of Consumption, which is the nationally consumable product, which is derived as EFP + EFI - EFE]]/(Table1[[#This Row],[pop_1000_persons]]*1000)</f>
        <v>0</v>
      </c>
    </row>
    <row r="168" spans="1:7" x14ac:dyDescent="0.25">
      <c r="A168" t="s">
        <v>63</v>
      </c>
      <c r="B168" t="s">
        <v>417</v>
      </c>
      <c r="C168">
        <v>2023</v>
      </c>
      <c r="D168" t="s">
        <v>212</v>
      </c>
      <c r="E168">
        <v>19118.5</v>
      </c>
      <c r="F168">
        <v>58324855</v>
      </c>
      <c r="G168">
        <f>Table1[[#This Row],[efc_total_gha, Ecological Footprint of Consumption, which is the nationally consumable product, which is derived as EFP + EFI - EFE]]/(Table1[[#This Row],[pop_1000_persons]]*1000)</f>
        <v>3.0507024609671261</v>
      </c>
    </row>
    <row r="169" spans="1:7" x14ac:dyDescent="0.25">
      <c r="A169" t="s">
        <v>71</v>
      </c>
      <c r="B169" t="s">
        <v>418</v>
      </c>
      <c r="C169">
        <v>2023</v>
      </c>
      <c r="D169" t="s">
        <v>212</v>
      </c>
      <c r="E169">
        <v>145440</v>
      </c>
      <c r="F169">
        <v>779222305</v>
      </c>
      <c r="G169">
        <f>Table1[[#This Row],[efc_total_gha, Ecological Footprint of Consumption, which is the nationally consumable product, which is derived as EFP + EFI - EFE]]/(Table1[[#This Row],[pop_1000_persons]]*1000)</f>
        <v>5.3576891157865782</v>
      </c>
    </row>
    <row r="170" spans="1:7" x14ac:dyDescent="0.25">
      <c r="A170" t="s">
        <v>168</v>
      </c>
      <c r="B170" t="s">
        <v>419</v>
      </c>
      <c r="C170">
        <v>2023</v>
      </c>
      <c r="D170" t="s">
        <v>212</v>
      </c>
      <c r="E170">
        <v>13954.5</v>
      </c>
      <c r="F170">
        <v>11838261</v>
      </c>
      <c r="G170">
        <f>Table1[[#This Row],[efc_total_gha, Ecological Footprint of Consumption, which is the nationally consumable product, which is derived as EFP + EFI - EFE]]/(Table1[[#This Row],[pop_1000_persons]]*1000)</f>
        <v>0.84834719982801243</v>
      </c>
    </row>
    <row r="171" spans="1:7" x14ac:dyDescent="0.25">
      <c r="A171" t="s">
        <v>420</v>
      </c>
      <c r="B171" t="s">
        <v>421</v>
      </c>
      <c r="C171">
        <v>2023</v>
      </c>
      <c r="D171" t="s">
        <v>219</v>
      </c>
      <c r="E171">
        <v>11.085000000000001</v>
      </c>
      <c r="G171">
        <f>Table1[[#This Row],[efc_total_gha, Ecological Footprint of Consumption, which is the nationally consumable product, which is derived as EFP + EFI - EFE]]/(Table1[[#This Row],[pop_1000_persons]]*1000)</f>
        <v>0</v>
      </c>
    </row>
    <row r="172" spans="1:7" x14ac:dyDescent="0.25">
      <c r="A172" t="s">
        <v>422</v>
      </c>
      <c r="B172" t="s">
        <v>423</v>
      </c>
      <c r="C172">
        <v>2023</v>
      </c>
      <c r="D172" t="s">
        <v>219</v>
      </c>
      <c r="E172">
        <v>5.2889999999999997</v>
      </c>
      <c r="G172">
        <f>Table1[[#This Row],[efc_total_gha, Ecological Footprint of Consumption, which is the nationally consumable product, which is derived as EFP + EFI - EFE]]/(Table1[[#This Row],[pop_1000_persons]]*1000)</f>
        <v>0</v>
      </c>
    </row>
    <row r="173" spans="1:7" x14ac:dyDescent="0.25">
      <c r="A173" t="s">
        <v>65</v>
      </c>
      <c r="B173" t="s">
        <v>424</v>
      </c>
      <c r="C173">
        <v>2023</v>
      </c>
      <c r="D173" t="s">
        <v>219</v>
      </c>
      <c r="E173">
        <v>46.758000000000003</v>
      </c>
      <c r="G173">
        <f>Table1[[#This Row],[efc_total_gha, Ecological Footprint of Consumption, which is the nationally consumable product, which is derived as EFP + EFI - EFE]]/(Table1[[#This Row],[pop_1000_persons]]*1000)</f>
        <v>0</v>
      </c>
    </row>
    <row r="174" spans="1:7" x14ac:dyDescent="0.25">
      <c r="A174" t="s">
        <v>111</v>
      </c>
      <c r="B174" t="s">
        <v>425</v>
      </c>
      <c r="C174">
        <v>2023</v>
      </c>
      <c r="D174" t="s">
        <v>214</v>
      </c>
      <c r="E174">
        <v>179.285</v>
      </c>
      <c r="F174">
        <v>491756</v>
      </c>
      <c r="G174">
        <f>Table1[[#This Row],[efc_total_gha, Ecological Footprint of Consumption, which is the nationally consumable product, which is derived as EFP + EFI - EFE]]/(Table1[[#This Row],[pop_1000_persons]]*1000)</f>
        <v>2.7428730791756144</v>
      </c>
    </row>
    <row r="175" spans="1:7" x14ac:dyDescent="0.25">
      <c r="A175" t="s">
        <v>426</v>
      </c>
      <c r="B175" t="s">
        <v>427</v>
      </c>
      <c r="C175">
        <v>2023</v>
      </c>
      <c r="D175" t="s">
        <v>219</v>
      </c>
      <c r="E175">
        <v>5.681</v>
      </c>
      <c r="G175">
        <f>Table1[[#This Row],[efc_total_gha, Ecological Footprint of Consumption, which is the nationally consumable product, which is derived as EFP + EFI - EFE]]/(Table1[[#This Row],[pop_1000_persons]]*1000)</f>
        <v>0</v>
      </c>
    </row>
    <row r="176" spans="1:7" x14ac:dyDescent="0.25">
      <c r="A176" t="s">
        <v>428</v>
      </c>
      <c r="B176" t="s">
        <v>429</v>
      </c>
      <c r="C176">
        <v>2023</v>
      </c>
      <c r="D176" t="s">
        <v>216</v>
      </c>
      <c r="E176">
        <v>101.32299999999999</v>
      </c>
      <c r="G176">
        <f>Table1[[#This Row],[efc_total_gha, Ecological Footprint of Consumption, which is the nationally consumable product, which is derived as EFP + EFI - EFE]]/(Table1[[#This Row],[pop_1000_persons]]*1000)</f>
        <v>0</v>
      </c>
    </row>
    <row r="177" spans="1:7" x14ac:dyDescent="0.25">
      <c r="A177" t="s">
        <v>430</v>
      </c>
      <c r="B177" t="s">
        <v>431</v>
      </c>
      <c r="C177">
        <v>2023</v>
      </c>
      <c r="D177" t="s">
        <v>219</v>
      </c>
      <c r="E177">
        <v>27.515000000000001</v>
      </c>
      <c r="G177">
        <f>Table1[[#This Row],[efc_total_gha, Ecological Footprint of Consumption, which is the nationally consumable product, which is derived as EFP + EFI - EFE]]/(Table1[[#This Row],[pop_1000_persons]]*1000)</f>
        <v>0</v>
      </c>
    </row>
    <row r="178" spans="1:7" x14ac:dyDescent="0.25">
      <c r="A178" t="s">
        <v>130</v>
      </c>
      <c r="B178" t="s">
        <v>432</v>
      </c>
      <c r="C178">
        <v>2023</v>
      </c>
      <c r="D178" t="s">
        <v>212</v>
      </c>
      <c r="E178">
        <v>216.66300000000001</v>
      </c>
      <c r="F178">
        <v>502933</v>
      </c>
      <c r="G178">
        <f>Table1[[#This Row],[efc_total_gha, Ecological Footprint of Consumption, which is the nationally consumable product, which is derived as EFP + EFI - EFE]]/(Table1[[#This Row],[pop_1000_persons]]*1000)</f>
        <v>2.3212685137748483</v>
      </c>
    </row>
    <row r="179" spans="1:7" x14ac:dyDescent="0.25">
      <c r="A179" t="s">
        <v>150</v>
      </c>
      <c r="B179" t="s">
        <v>433</v>
      </c>
      <c r="C179">
        <v>2023</v>
      </c>
      <c r="D179" t="s">
        <v>216</v>
      </c>
      <c r="E179">
        <v>230.87100000000001</v>
      </c>
      <c r="G179">
        <f>Table1[[#This Row],[efc_total_gha, Ecological Footprint of Consumption, which is the nationally consumable product, which is derived as EFP + EFI - EFE]]/(Table1[[#This Row],[pop_1000_persons]]*1000)</f>
        <v>0</v>
      </c>
    </row>
    <row r="180" spans="1:7" x14ac:dyDescent="0.25">
      <c r="A180" t="s">
        <v>44</v>
      </c>
      <c r="B180" t="s">
        <v>434</v>
      </c>
      <c r="C180">
        <v>2023</v>
      </c>
      <c r="D180" t="s">
        <v>216</v>
      </c>
      <c r="E180">
        <v>33264.300000000003</v>
      </c>
      <c r="G180">
        <f>Table1[[#This Row],[efc_total_gha, Ecological Footprint of Consumption, which is the nationally consumable product, which is derived as EFP + EFI - EFE]]/(Table1[[#This Row],[pop_1000_persons]]*1000)</f>
        <v>0</v>
      </c>
    </row>
    <row r="181" spans="1:7" x14ac:dyDescent="0.25">
      <c r="A181" t="s">
        <v>179</v>
      </c>
      <c r="B181" t="s">
        <v>435</v>
      </c>
      <c r="C181">
        <v>2023</v>
      </c>
      <c r="D181" t="s">
        <v>214</v>
      </c>
      <c r="E181">
        <v>18077.599999999999</v>
      </c>
      <c r="F181">
        <v>28654214</v>
      </c>
      <c r="G181">
        <f>Table1[[#This Row],[efc_total_gha, Ecological Footprint of Consumption, which is the nationally consumable product, which is derived as EFP + EFI - EFE]]/(Table1[[#This Row],[pop_1000_persons]]*1000)</f>
        <v>1.5850673762003806</v>
      </c>
    </row>
    <row r="182" spans="1:7" x14ac:dyDescent="0.25">
      <c r="A182" t="s">
        <v>70</v>
      </c>
      <c r="B182" t="s">
        <v>436</v>
      </c>
      <c r="C182">
        <v>2023</v>
      </c>
      <c r="D182" t="s">
        <v>212</v>
      </c>
      <c r="E182">
        <v>6773.2</v>
      </c>
      <c r="F182">
        <v>28770786</v>
      </c>
      <c r="G182">
        <f>Table1[[#This Row],[efc_total_gha, Ecological Footprint of Consumption, which is the nationally consumable product, which is derived as EFP + EFI - EFE]]/(Table1[[#This Row],[pop_1000_persons]]*1000)</f>
        <v>4.2477390302958717</v>
      </c>
    </row>
    <row r="183" spans="1:7" x14ac:dyDescent="0.25">
      <c r="A183" t="s">
        <v>61</v>
      </c>
      <c r="B183" t="s">
        <v>437</v>
      </c>
      <c r="C183">
        <v>2023</v>
      </c>
      <c r="D183" t="s">
        <v>219</v>
      </c>
      <c r="E183">
        <v>127.95099999999999</v>
      </c>
      <c r="G183">
        <f>Table1[[#This Row],[efc_total_gha, Ecological Footprint of Consumption, which is the nationally consumable product, which is derived as EFP + EFI - EFE]]/(Table1[[#This Row],[pop_1000_persons]]*1000)</f>
        <v>0</v>
      </c>
    </row>
    <row r="184" spans="1:7" x14ac:dyDescent="0.25">
      <c r="A184" t="s">
        <v>195</v>
      </c>
      <c r="B184" t="s">
        <v>438</v>
      </c>
      <c r="C184">
        <v>2023</v>
      </c>
      <c r="D184" t="s">
        <v>214</v>
      </c>
      <c r="E184">
        <v>8460.51</v>
      </c>
      <c r="F184">
        <v>8567991</v>
      </c>
      <c r="G184">
        <f>Table1[[#This Row],[efc_total_gha, Ecological Footprint of Consumption, which is the nationally consumable product, which is derived as EFP + EFI - EFE]]/(Table1[[#This Row],[pop_1000_persons]]*1000)</f>
        <v>1.0127038440945049</v>
      </c>
    </row>
    <row r="185" spans="1:7" x14ac:dyDescent="0.25">
      <c r="A185" t="s">
        <v>20</v>
      </c>
      <c r="B185" t="s">
        <v>439</v>
      </c>
      <c r="C185">
        <v>2023</v>
      </c>
      <c r="D185" t="s">
        <v>216</v>
      </c>
      <c r="E185">
        <v>5789.09</v>
      </c>
      <c r="G185">
        <f>Table1[[#This Row],[efc_total_gha, Ecological Footprint of Consumption, which is the nationally consumable product, which is derived as EFP + EFI - EFE]]/(Table1[[#This Row],[pop_1000_persons]]*1000)</f>
        <v>0</v>
      </c>
    </row>
    <row r="186" spans="1:7" x14ac:dyDescent="0.25">
      <c r="A186" t="s">
        <v>440</v>
      </c>
      <c r="B186" t="s">
        <v>441</v>
      </c>
      <c r="C186">
        <v>2023</v>
      </c>
      <c r="D186" t="s">
        <v>219</v>
      </c>
      <c r="E186">
        <v>42.749000000000002</v>
      </c>
      <c r="G186">
        <f>Table1[[#This Row],[efc_total_gha, Ecological Footprint of Consumption, which is the nationally consumable product, which is derived as EFP + EFI - EFE]]/(Table1[[#This Row],[pop_1000_persons]]*1000)</f>
        <v>0</v>
      </c>
    </row>
    <row r="187" spans="1:7" x14ac:dyDescent="0.25">
      <c r="A187" t="s">
        <v>51</v>
      </c>
      <c r="B187" t="s">
        <v>442</v>
      </c>
      <c r="C187">
        <v>2023</v>
      </c>
      <c r="D187" t="s">
        <v>212</v>
      </c>
      <c r="E187">
        <v>5518.06</v>
      </c>
      <c r="F187">
        <v>23534764</v>
      </c>
      <c r="G187">
        <f>Table1[[#This Row],[efc_total_gha, Ecological Footprint of Consumption, which is the nationally consumable product, which is derived as EFP + EFI - EFE]]/(Table1[[#This Row],[pop_1000_persons]]*1000)</f>
        <v>4.2650431492227341</v>
      </c>
    </row>
    <row r="188" spans="1:7" x14ac:dyDescent="0.25">
      <c r="A188" t="s">
        <v>28</v>
      </c>
      <c r="B188" t="s">
        <v>443</v>
      </c>
      <c r="C188">
        <v>2023</v>
      </c>
      <c r="D188" t="s">
        <v>212</v>
      </c>
      <c r="E188">
        <v>2118.4</v>
      </c>
      <c r="F188">
        <v>10990299</v>
      </c>
      <c r="G188">
        <f>Table1[[#This Row],[efc_total_gha, Ecological Footprint of Consumption, which is the nationally consumable product, which is derived as EFP + EFI - EFE]]/(Table1[[#This Row],[pop_1000_persons]]*1000)</f>
        <v>5.1880187877643502</v>
      </c>
    </row>
    <row r="189" spans="1:7" x14ac:dyDescent="0.25">
      <c r="A189" t="s">
        <v>165</v>
      </c>
      <c r="B189" t="s">
        <v>444</v>
      </c>
      <c r="C189">
        <v>2023</v>
      </c>
      <c r="D189" t="s">
        <v>216</v>
      </c>
      <c r="E189">
        <v>800.005</v>
      </c>
      <c r="G189">
        <f>Table1[[#This Row],[efc_total_gha, Ecological Footprint of Consumption, which is the nationally consumable product, which is derived as EFP + EFI - EFE]]/(Table1[[#This Row],[pop_1000_persons]]*1000)</f>
        <v>0</v>
      </c>
    </row>
    <row r="190" spans="1:7" x14ac:dyDescent="0.25">
      <c r="A190" t="s">
        <v>202</v>
      </c>
      <c r="B190" t="s">
        <v>445</v>
      </c>
      <c r="C190">
        <v>2023</v>
      </c>
      <c r="D190" t="s">
        <v>212</v>
      </c>
      <c r="E190">
        <v>18358.599999999999</v>
      </c>
      <c r="F190">
        <v>15786657</v>
      </c>
      <c r="G190">
        <f>Table1[[#This Row],[efc_total_gha, Ecological Footprint of Consumption, which is the nationally consumable product, which is derived as EFP + EFI - EFE]]/(Table1[[#This Row],[pop_1000_persons]]*1000)</f>
        <v>0.85990527600143807</v>
      </c>
    </row>
    <row r="191" spans="1:7" x14ac:dyDescent="0.25">
      <c r="A191" t="s">
        <v>114</v>
      </c>
      <c r="B191" t="s">
        <v>446</v>
      </c>
      <c r="C191">
        <v>2023</v>
      </c>
      <c r="D191" t="s">
        <v>214</v>
      </c>
      <c r="E191">
        <v>63212.4</v>
      </c>
      <c r="F191">
        <v>170736184</v>
      </c>
      <c r="G191">
        <f>Table1[[#This Row],[efc_total_gha, Ecological Footprint of Consumption, which is the nationally consumable product, which is derived as EFP + EFI - EFE]]/(Table1[[#This Row],[pop_1000_persons]]*1000)</f>
        <v>2.7009919572742058</v>
      </c>
    </row>
    <row r="192" spans="1:7" x14ac:dyDescent="0.25">
      <c r="A192" t="s">
        <v>203</v>
      </c>
      <c r="B192" t="s">
        <v>447</v>
      </c>
      <c r="C192">
        <v>2023</v>
      </c>
      <c r="D192" t="s">
        <v>216</v>
      </c>
      <c r="E192">
        <v>11483.4</v>
      </c>
      <c r="G192">
        <f>Table1[[#This Row],[efc_total_gha, Ecological Footprint of Consumption, which is the nationally consumable product, which is derived as EFP + EFI - EFE]]/(Table1[[#This Row],[pop_1000_persons]]*1000)</f>
        <v>0</v>
      </c>
    </row>
    <row r="193" spans="1:7" x14ac:dyDescent="0.25">
      <c r="A193" t="s">
        <v>35</v>
      </c>
      <c r="B193" t="s">
        <v>448</v>
      </c>
      <c r="C193">
        <v>2023</v>
      </c>
      <c r="D193" t="s">
        <v>212</v>
      </c>
      <c r="E193">
        <v>47911.6</v>
      </c>
      <c r="F193">
        <v>153987399</v>
      </c>
      <c r="G193">
        <f>Table1[[#This Row],[efc_total_gha, Ecological Footprint of Consumption, which is the nationally consumable product, which is derived as EFP + EFI - EFE]]/(Table1[[#This Row],[pop_1000_persons]]*1000)</f>
        <v>3.2139899105853278</v>
      </c>
    </row>
    <row r="194" spans="1:7" x14ac:dyDescent="0.25">
      <c r="A194" t="s">
        <v>99</v>
      </c>
      <c r="B194" t="s">
        <v>449</v>
      </c>
      <c r="C194">
        <v>2023</v>
      </c>
      <c r="D194" t="s">
        <v>212</v>
      </c>
      <c r="E194">
        <v>22971.599999999999</v>
      </c>
      <c r="F194">
        <v>28579709</v>
      </c>
      <c r="G194">
        <f>Table1[[#This Row],[efc_total_gha, Ecological Footprint of Consumption, which is the nationally consumable product, which is derived as EFP + EFI - EFE]]/(Table1[[#This Row],[pop_1000_persons]]*1000)</f>
        <v>1.244132276376047</v>
      </c>
    </row>
    <row r="195" spans="1:7" x14ac:dyDescent="0.25">
      <c r="A195" t="s">
        <v>450</v>
      </c>
      <c r="B195" t="s">
        <v>451</v>
      </c>
      <c r="C195">
        <v>2023</v>
      </c>
      <c r="D195" t="s">
        <v>452</v>
      </c>
      <c r="E195">
        <v>5409.2</v>
      </c>
      <c r="G195">
        <f>Table1[[#This Row],[efc_total_gha, Ecological Footprint of Consumption, which is the nationally consumable product, which is derived as EFP + EFI - EFE]]/(Table1[[#This Row],[pop_1000_persons]]*1000)</f>
        <v>0</v>
      </c>
    </row>
    <row r="196" spans="1:7" x14ac:dyDescent="0.25">
      <c r="A196" t="s">
        <v>186</v>
      </c>
      <c r="B196" t="s">
        <v>453</v>
      </c>
      <c r="C196">
        <v>2023</v>
      </c>
      <c r="D196" t="s">
        <v>452</v>
      </c>
      <c r="E196">
        <v>50042.8</v>
      </c>
      <c r="G196">
        <f>Table1[[#This Row],[efc_total_gha, Ecological Footprint of Consumption, which is the nationally consumable product, which is derived as EFP + EFI - EFE]]/(Table1[[#This Row],[pop_1000_persons]]*1000)</f>
        <v>0</v>
      </c>
    </row>
    <row r="197" spans="1:7" x14ac:dyDescent="0.25">
      <c r="A197" t="s">
        <v>122</v>
      </c>
      <c r="B197" t="s">
        <v>454</v>
      </c>
      <c r="C197">
        <v>2023</v>
      </c>
      <c r="D197" t="s">
        <v>216</v>
      </c>
      <c r="E197">
        <v>628.88599999999997</v>
      </c>
      <c r="G197">
        <f>Table1[[#This Row],[efc_total_gha, Ecological Footprint of Consumption, which is the nationally consumable product, which is derived as EFP + EFI - EFE]]/(Table1[[#This Row],[pop_1000_persons]]*1000)</f>
        <v>0</v>
      </c>
    </row>
    <row r="198" spans="1:7" x14ac:dyDescent="0.25">
      <c r="A198" t="s">
        <v>13</v>
      </c>
      <c r="B198" t="s">
        <v>455</v>
      </c>
      <c r="C198">
        <v>2023</v>
      </c>
      <c r="D198" t="s">
        <v>212</v>
      </c>
      <c r="E198">
        <v>10551.5</v>
      </c>
      <c r="F198">
        <v>54438566</v>
      </c>
      <c r="G198">
        <f>Table1[[#This Row],[efc_total_gha, Ecological Footprint of Consumption, which is the nationally consumable product, which is derived as EFP + EFI - EFE]]/(Table1[[#This Row],[pop_1000_persons]]*1000)</f>
        <v>5.1593200966687203</v>
      </c>
    </row>
    <row r="199" spans="1:7" x14ac:dyDescent="0.25">
      <c r="A199" t="s">
        <v>10</v>
      </c>
      <c r="B199" t="s">
        <v>456</v>
      </c>
      <c r="C199">
        <v>2023</v>
      </c>
      <c r="D199" t="s">
        <v>212</v>
      </c>
      <c r="E199">
        <v>8870.56</v>
      </c>
      <c r="F199">
        <v>35628425</v>
      </c>
      <c r="G199">
        <f>Table1[[#This Row],[efc_total_gha, Ecological Footprint of Consumption, which is the nationally consumable product, which is derived as EFP + EFI - EFE]]/(Table1[[#This Row],[pop_1000_persons]]*1000)</f>
        <v>4.016479793834888</v>
      </c>
    </row>
    <row r="200" spans="1:7" x14ac:dyDescent="0.25">
      <c r="A200" t="s">
        <v>171</v>
      </c>
      <c r="B200" t="s">
        <v>457</v>
      </c>
      <c r="C200">
        <v>2023</v>
      </c>
      <c r="D200" t="s">
        <v>212</v>
      </c>
      <c r="E200">
        <v>23594.6</v>
      </c>
      <c r="F200">
        <v>20633135</v>
      </c>
      <c r="G200">
        <f>Table1[[#This Row],[efc_total_gha, Ecological Footprint of Consumption, which is the nationally consumable product, which is derived as EFP + EFI - EFE]]/(Table1[[#This Row],[pop_1000_persons]]*1000)</f>
        <v>0.87448547549015454</v>
      </c>
    </row>
    <row r="201" spans="1:7" x14ac:dyDescent="0.25">
      <c r="A201" t="s">
        <v>137</v>
      </c>
      <c r="B201" t="s">
        <v>458</v>
      </c>
      <c r="C201">
        <v>2023</v>
      </c>
      <c r="D201" t="s">
        <v>214</v>
      </c>
      <c r="E201">
        <v>10389.799999999999</v>
      </c>
      <c r="F201">
        <v>10927943</v>
      </c>
      <c r="G201">
        <f>Table1[[#This Row],[efc_total_gha, Ecological Footprint of Consumption, which is the nationally consumable product, which is derived as EFP + EFI - EFE]]/(Table1[[#This Row],[pop_1000_persons]]*1000)</f>
        <v>1.0517953184854376</v>
      </c>
    </row>
    <row r="202" spans="1:7" x14ac:dyDescent="0.25">
      <c r="A202" t="s">
        <v>459</v>
      </c>
      <c r="B202" t="s">
        <v>460</v>
      </c>
      <c r="C202">
        <v>2023</v>
      </c>
      <c r="D202" t="s">
        <v>212</v>
      </c>
      <c r="E202">
        <v>66617.600000000006</v>
      </c>
      <c r="F202">
        <v>69299844</v>
      </c>
      <c r="G202">
        <f>Table1[[#This Row],[efc_total_gha, Ecological Footprint of Consumption, which is the nationally consumable product, which is derived as EFP + EFI - EFE]]/(Table1[[#This Row],[pop_1000_persons]]*1000)</f>
        <v>1.0402632937842251</v>
      </c>
    </row>
    <row r="203" spans="1:7" x14ac:dyDescent="0.25">
      <c r="A203" t="s">
        <v>85</v>
      </c>
      <c r="B203" t="s">
        <v>461</v>
      </c>
      <c r="C203">
        <v>2023</v>
      </c>
      <c r="D203" t="s">
        <v>212</v>
      </c>
      <c r="E203">
        <v>71702.399999999994</v>
      </c>
      <c r="F203">
        <v>181530898</v>
      </c>
      <c r="G203">
        <f>Table1[[#This Row],[efc_total_gha, Ecological Footprint of Consumption, which is the nationally consumable product, which is derived as EFP + EFI - EFE]]/(Table1[[#This Row],[pop_1000_persons]]*1000)</f>
        <v>2.531726943589057</v>
      </c>
    </row>
    <row r="204" spans="1:7" x14ac:dyDescent="0.25">
      <c r="A204" t="s">
        <v>151</v>
      </c>
      <c r="B204" t="s">
        <v>462</v>
      </c>
      <c r="C204">
        <v>2023</v>
      </c>
      <c r="D204" t="s">
        <v>214</v>
      </c>
      <c r="E204">
        <v>1384.29</v>
      </c>
      <c r="F204">
        <v>1269854</v>
      </c>
      <c r="G204">
        <f>Table1[[#This Row],[efc_total_gha, Ecological Footprint of Consumption, which is the nationally consumable product, which is derived as EFP + EFI - EFE]]/(Table1[[#This Row],[pop_1000_persons]]*1000)</f>
        <v>0.91733235088023468</v>
      </c>
    </row>
    <row r="205" spans="1:7" x14ac:dyDescent="0.25">
      <c r="A205" t="s">
        <v>170</v>
      </c>
      <c r="B205" t="s">
        <v>463</v>
      </c>
      <c r="C205">
        <v>2023</v>
      </c>
      <c r="D205" t="s">
        <v>212</v>
      </c>
      <c r="E205">
        <v>9304.34</v>
      </c>
      <c r="F205">
        <v>10615846</v>
      </c>
      <c r="G205">
        <f>Table1[[#This Row],[efc_total_gha, Ecological Footprint of Consumption, which is the nationally consumable product, which is derived as EFP + EFI - EFE]]/(Table1[[#This Row],[pop_1000_persons]]*1000)</f>
        <v>1.140956370897882</v>
      </c>
    </row>
    <row r="206" spans="1:7" x14ac:dyDescent="0.25">
      <c r="A206" t="s">
        <v>464</v>
      </c>
      <c r="B206" t="s">
        <v>465</v>
      </c>
      <c r="C206">
        <v>2023</v>
      </c>
      <c r="D206" t="s">
        <v>219</v>
      </c>
      <c r="E206">
        <v>2.3969999999999998</v>
      </c>
      <c r="G206">
        <f>Table1[[#This Row],[efc_total_gha, Ecological Footprint of Consumption, which is the nationally consumable product, which is derived as EFP + EFI - EFE]]/(Table1[[#This Row],[pop_1000_persons]]*1000)</f>
        <v>0</v>
      </c>
    </row>
    <row r="207" spans="1:7" x14ac:dyDescent="0.25">
      <c r="A207" t="s">
        <v>100</v>
      </c>
      <c r="B207" t="s">
        <v>466</v>
      </c>
      <c r="C207">
        <v>2023</v>
      </c>
      <c r="D207" t="s">
        <v>214</v>
      </c>
      <c r="E207">
        <v>104.59699999999999</v>
      </c>
      <c r="F207">
        <v>391151</v>
      </c>
      <c r="G207">
        <f>Table1[[#This Row],[efc_total_gha, Ecological Footprint of Consumption, which is the nationally consumable product, which is derived as EFP + EFI - EFE]]/(Table1[[#This Row],[pop_1000_persons]]*1000)</f>
        <v>3.7396005621576145</v>
      </c>
    </row>
    <row r="208" spans="1:7" x14ac:dyDescent="0.25">
      <c r="A208" t="s">
        <v>79</v>
      </c>
      <c r="B208" t="s">
        <v>467</v>
      </c>
      <c r="C208">
        <v>2023</v>
      </c>
      <c r="D208" t="s">
        <v>216</v>
      </c>
      <c r="E208">
        <v>1502.93</v>
      </c>
      <c r="G208">
        <f>Table1[[#This Row],[efc_total_gha, Ecological Footprint of Consumption, which is the nationally consumable product, which is derived as EFP + EFI - EFE]]/(Table1[[#This Row],[pop_1000_persons]]*1000)</f>
        <v>0</v>
      </c>
    </row>
    <row r="209" spans="1:7" x14ac:dyDescent="0.25">
      <c r="A209" t="s">
        <v>113</v>
      </c>
      <c r="B209" t="s">
        <v>468</v>
      </c>
      <c r="C209">
        <v>2023</v>
      </c>
      <c r="D209" t="s">
        <v>214</v>
      </c>
      <c r="E209">
        <v>12200.4</v>
      </c>
      <c r="F209">
        <v>20481091</v>
      </c>
      <c r="G209">
        <f>Table1[[#This Row],[efc_total_gha, Ecological Footprint of Consumption, which is the nationally consumable product, which is derived as EFP + EFI - EFE]]/(Table1[[#This Row],[pop_1000_persons]]*1000)</f>
        <v>1.6787229107242385</v>
      </c>
    </row>
    <row r="210" spans="1:7" x14ac:dyDescent="0.25">
      <c r="A210" t="s">
        <v>58</v>
      </c>
      <c r="B210" t="s">
        <v>469</v>
      </c>
      <c r="C210">
        <v>2023</v>
      </c>
      <c r="D210" t="s">
        <v>212</v>
      </c>
      <c r="E210">
        <v>87270.5</v>
      </c>
      <c r="F210">
        <v>282663857</v>
      </c>
      <c r="G210">
        <f>Table1[[#This Row],[efc_total_gha, Ecological Footprint of Consumption, which is the nationally consumable product, which is derived as EFP + EFI - EFE]]/(Table1[[#This Row],[pop_1000_persons]]*1000)</f>
        <v>3.238939355223128</v>
      </c>
    </row>
    <row r="211" spans="1:7" x14ac:dyDescent="0.25">
      <c r="A211" t="s">
        <v>103</v>
      </c>
      <c r="B211" t="s">
        <v>470</v>
      </c>
      <c r="C211">
        <v>2023</v>
      </c>
      <c r="D211" t="s">
        <v>214</v>
      </c>
      <c r="E211">
        <v>7364.44</v>
      </c>
      <c r="F211">
        <v>34128566</v>
      </c>
      <c r="G211">
        <f>Table1[[#This Row],[efc_total_gha, Ecological Footprint of Consumption, which is the nationally consumable product, which is derived as EFP + EFI - EFE]]/(Table1[[#This Row],[pop_1000_persons]]*1000)</f>
        <v>4.6342377696063783</v>
      </c>
    </row>
    <row r="212" spans="1:7" x14ac:dyDescent="0.25">
      <c r="A212" t="s">
        <v>471</v>
      </c>
      <c r="B212" t="s">
        <v>472</v>
      </c>
      <c r="C212">
        <v>2023</v>
      </c>
      <c r="D212" t="s">
        <v>219</v>
      </c>
      <c r="E212">
        <v>46.198</v>
      </c>
      <c r="G212">
        <f>Table1[[#This Row],[efc_total_gha, Ecological Footprint of Consumption, which is the nationally consumable product, which is derived as EFP + EFI - EFE]]/(Table1[[#This Row],[pop_1000_persons]]*1000)</f>
        <v>0</v>
      </c>
    </row>
    <row r="213" spans="1:7" x14ac:dyDescent="0.25">
      <c r="A213" t="s">
        <v>138</v>
      </c>
      <c r="B213" t="s">
        <v>473</v>
      </c>
      <c r="C213">
        <v>2023</v>
      </c>
      <c r="D213" t="s">
        <v>219</v>
      </c>
      <c r="E213">
        <v>9.8160000000000007</v>
      </c>
      <c r="G213">
        <f>Table1[[#This Row],[efc_total_gha, Ecological Footprint of Consumption, which is the nationally consumable product, which is derived as EFP + EFI - EFE]]/(Table1[[#This Row],[pop_1000_persons]]*1000)</f>
        <v>0</v>
      </c>
    </row>
    <row r="214" spans="1:7" x14ac:dyDescent="0.25">
      <c r="A214" t="s">
        <v>167</v>
      </c>
      <c r="B214" t="s">
        <v>474</v>
      </c>
      <c r="C214">
        <v>2023</v>
      </c>
      <c r="D214" t="s">
        <v>212</v>
      </c>
      <c r="E214">
        <v>48656.6</v>
      </c>
      <c r="F214">
        <v>54216865</v>
      </c>
      <c r="G214">
        <f>Table1[[#This Row],[efc_total_gha, Ecological Footprint of Consumption, which is the nationally consumable product, which is derived as EFP + EFI - EFE]]/(Table1[[#This Row],[pop_1000_persons]]*1000)</f>
        <v>1.1142756583896121</v>
      </c>
    </row>
    <row r="215" spans="1:7" x14ac:dyDescent="0.25">
      <c r="A215" t="s">
        <v>95</v>
      </c>
      <c r="B215" t="s">
        <v>475</v>
      </c>
      <c r="C215">
        <v>2023</v>
      </c>
      <c r="D215" t="s">
        <v>452</v>
      </c>
      <c r="E215">
        <v>37732.800000000003</v>
      </c>
      <c r="G215">
        <f>Table1[[#This Row],[efc_total_gha, Ecological Footprint of Consumption, which is the nationally consumable product, which is derived as EFP + EFI - EFE]]/(Table1[[#This Row],[pop_1000_persons]]*1000)</f>
        <v>0</v>
      </c>
    </row>
    <row r="216" spans="1:7" x14ac:dyDescent="0.25">
      <c r="A216" t="s">
        <v>22</v>
      </c>
      <c r="B216" t="s">
        <v>476</v>
      </c>
      <c r="C216">
        <v>2023</v>
      </c>
      <c r="D216" t="s">
        <v>216</v>
      </c>
      <c r="E216">
        <v>10642.1</v>
      </c>
      <c r="G216">
        <f>Table1[[#This Row],[efc_total_gha, Ecological Footprint of Consumption, which is the nationally consumable product, which is derived as EFP + EFI - EFE]]/(Table1[[#This Row],[pop_1000_persons]]*1000)</f>
        <v>0</v>
      </c>
    </row>
    <row r="217" spans="1:7" x14ac:dyDescent="0.25">
      <c r="A217" t="s">
        <v>21</v>
      </c>
      <c r="B217" t="s">
        <v>477</v>
      </c>
      <c r="C217">
        <v>2023</v>
      </c>
      <c r="D217" t="s">
        <v>212</v>
      </c>
      <c r="E217">
        <v>68683</v>
      </c>
      <c r="F217">
        <v>250435821</v>
      </c>
      <c r="G217">
        <f>Table1[[#This Row],[efc_total_gha, Ecological Footprint of Consumption, which is the nationally consumable product, which is derived as EFP + EFI - EFE]]/(Table1[[#This Row],[pop_1000_persons]]*1000)</f>
        <v>3.6462562934059375</v>
      </c>
    </row>
    <row r="218" spans="1:7" x14ac:dyDescent="0.25">
      <c r="A218" t="s">
        <v>478</v>
      </c>
      <c r="B218" t="s">
        <v>479</v>
      </c>
      <c r="C218">
        <v>2023</v>
      </c>
      <c r="D218" t="s">
        <v>212</v>
      </c>
      <c r="E218">
        <v>343477</v>
      </c>
      <c r="F218">
        <v>2453103882</v>
      </c>
      <c r="G218">
        <f>Table1[[#This Row],[efc_total_gha, Ecological Footprint of Consumption, which is the nationally consumable product, which is derived as EFP + EFI - EFE]]/(Table1[[#This Row],[pop_1000_persons]]*1000)</f>
        <v>7.1419742282598255</v>
      </c>
    </row>
    <row r="219" spans="1:7" x14ac:dyDescent="0.25">
      <c r="A219" t="s">
        <v>56</v>
      </c>
      <c r="B219" t="s">
        <v>480</v>
      </c>
      <c r="C219">
        <v>2023</v>
      </c>
      <c r="D219" t="s">
        <v>216</v>
      </c>
      <c r="E219">
        <v>3388.08</v>
      </c>
      <c r="G219">
        <f>Table1[[#This Row],[efc_total_gha, Ecological Footprint of Consumption, which is the nationally consumable product, which is derived as EFP + EFI - EFE]]/(Table1[[#This Row],[pop_1000_persons]]*1000)</f>
        <v>0</v>
      </c>
    </row>
    <row r="220" spans="1:7" x14ac:dyDescent="0.25">
      <c r="A220" t="s">
        <v>481</v>
      </c>
      <c r="B220" t="s">
        <v>482</v>
      </c>
      <c r="C220">
        <v>2023</v>
      </c>
      <c r="D220" t="s">
        <v>219</v>
      </c>
      <c r="E220">
        <v>85.700999999999993</v>
      </c>
      <c r="G220">
        <f>Table1[[#This Row],[efc_total_gha, Ecological Footprint of Consumption, which is the nationally consumable product, which is derived as EFP + EFI - EFE]]/(Table1[[#This Row],[pop_1000_persons]]*1000)</f>
        <v>0</v>
      </c>
    </row>
    <row r="221" spans="1:7" x14ac:dyDescent="0.25">
      <c r="A221" t="s">
        <v>115</v>
      </c>
      <c r="B221" t="s">
        <v>483</v>
      </c>
      <c r="C221">
        <v>2023</v>
      </c>
      <c r="D221" t="s">
        <v>212</v>
      </c>
      <c r="E221">
        <v>35652.300000000003</v>
      </c>
      <c r="F221">
        <v>82485748</v>
      </c>
      <c r="G221">
        <f>Table1[[#This Row],[efc_total_gha, Ecological Footprint of Consumption, which is the nationally consumable product, which is derived as EFP + EFI - EFE]]/(Table1[[#This Row],[pop_1000_persons]]*1000)</f>
        <v>2.3136164567222872</v>
      </c>
    </row>
    <row r="222" spans="1:7" x14ac:dyDescent="0.25">
      <c r="A222" t="s">
        <v>155</v>
      </c>
      <c r="B222" t="s">
        <v>484</v>
      </c>
      <c r="C222">
        <v>2023</v>
      </c>
      <c r="D222" t="s">
        <v>216</v>
      </c>
      <c r="E222">
        <v>320.40899999999999</v>
      </c>
      <c r="G222">
        <f>Table1[[#This Row],[efc_total_gha, Ecological Footprint of Consumption, which is the nationally consumable product, which is derived as EFP + EFI - EFE]]/(Table1[[#This Row],[pop_1000_persons]]*1000)</f>
        <v>0</v>
      </c>
    </row>
    <row r="223" spans="1:7" x14ac:dyDescent="0.25">
      <c r="A223" t="s">
        <v>485</v>
      </c>
      <c r="B223" t="s">
        <v>486</v>
      </c>
      <c r="C223">
        <v>2023</v>
      </c>
      <c r="D223" t="s">
        <v>212</v>
      </c>
      <c r="E223">
        <v>28300.9</v>
      </c>
      <c r="F223">
        <v>56500951</v>
      </c>
      <c r="G223">
        <f>Table1[[#This Row],[efc_total_gha, Ecological Footprint of Consumption, which is the nationally consumable product, which is derived as EFP + EFI - EFE]]/(Table1[[#This Row],[pop_1000_persons]]*1000)</f>
        <v>1.9964365444208487</v>
      </c>
    </row>
    <row r="224" spans="1:7" x14ac:dyDescent="0.25">
      <c r="A224" t="s">
        <v>102</v>
      </c>
      <c r="B224" t="s">
        <v>487</v>
      </c>
      <c r="C224">
        <v>2023</v>
      </c>
      <c r="D224" t="s">
        <v>212</v>
      </c>
      <c r="E224">
        <v>100352</v>
      </c>
      <c r="F224">
        <v>231917146</v>
      </c>
      <c r="G224">
        <f>Table1[[#This Row],[efc_total_gha, Ecological Footprint of Consumption, which is the nationally consumable product, which is derived as EFP + EFI - EFE]]/(Table1[[#This Row],[pop_1000_persons]]*1000)</f>
        <v>2.3110366111288267</v>
      </c>
    </row>
    <row r="225" spans="1:7" x14ac:dyDescent="0.25">
      <c r="A225" t="s">
        <v>488</v>
      </c>
      <c r="B225" t="s">
        <v>489</v>
      </c>
      <c r="C225">
        <v>2023</v>
      </c>
      <c r="D225" t="s">
        <v>219</v>
      </c>
      <c r="E225">
        <v>11.37</v>
      </c>
      <c r="G225">
        <f>Table1[[#This Row],[efc_total_gha, Ecological Footprint of Consumption, which is the nationally consumable product, which is derived as EFP + EFI - EFE]]/(Table1[[#This Row],[pop_1000_persons]]*1000)</f>
        <v>0</v>
      </c>
    </row>
    <row r="226" spans="1:7" x14ac:dyDescent="0.25">
      <c r="A226" t="s">
        <v>490</v>
      </c>
      <c r="B226" t="s">
        <v>491</v>
      </c>
      <c r="C226">
        <v>2023</v>
      </c>
      <c r="D226" t="s">
        <v>219</v>
      </c>
      <c r="E226">
        <v>579.72900000000004</v>
      </c>
      <c r="G226">
        <f>Table1[[#This Row],[efc_total_gha, Ecological Footprint of Consumption, which is the nationally consumable product, which is derived as EFP + EFI - EFE]]/(Table1[[#This Row],[pop_1000_persons]]*1000)</f>
        <v>0</v>
      </c>
    </row>
    <row r="227" spans="1:7" x14ac:dyDescent="0.25">
      <c r="A227" t="s">
        <v>194</v>
      </c>
      <c r="B227" t="s">
        <v>492</v>
      </c>
      <c r="C227">
        <v>2023</v>
      </c>
      <c r="D227" t="s">
        <v>212</v>
      </c>
      <c r="E227">
        <v>39390.800000000003</v>
      </c>
      <c r="F227">
        <v>21821494</v>
      </c>
      <c r="G227">
        <f>Table1[[#This Row],[efc_total_gha, Ecological Footprint of Consumption, which is the nationally consumable product, which is derived as EFP + EFI - EFE]]/(Table1[[#This Row],[pop_1000_persons]]*1000)</f>
        <v>0.55397437980442132</v>
      </c>
    </row>
    <row r="228" spans="1:7" x14ac:dyDescent="0.25">
      <c r="A228" t="s">
        <v>163</v>
      </c>
      <c r="B228" t="s">
        <v>493</v>
      </c>
      <c r="C228">
        <v>2023</v>
      </c>
      <c r="D228" t="s">
        <v>212</v>
      </c>
      <c r="E228">
        <v>20724</v>
      </c>
      <c r="F228">
        <v>24192087</v>
      </c>
      <c r="G228">
        <f>Table1[[#This Row],[efc_total_gha, Ecological Footprint of Consumption, which is the nationally consumable product, which is derived as EFP + EFI - EFE]]/(Table1[[#This Row],[pop_1000_persons]]*1000)</f>
        <v>1.1673464099594673</v>
      </c>
    </row>
    <row r="229" spans="1:7" x14ac:dyDescent="0.25">
      <c r="A229" t="s">
        <v>162</v>
      </c>
      <c r="B229" t="s">
        <v>494</v>
      </c>
      <c r="C229">
        <v>2023</v>
      </c>
      <c r="D229" t="s">
        <v>214</v>
      </c>
      <c r="E229">
        <v>16340.8</v>
      </c>
      <c r="F229">
        <v>21287356</v>
      </c>
      <c r="G229">
        <f>Table1[[#This Row],[efc_total_gha, Ecological Footprint of Consumption, which is the nationally consumable product, which is derived as EFP + EFI - EFE]]/(Table1[[#This Row],[pop_1000_persons]]*1000)</f>
        <v>1.3027119847253501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3C2FB3-9BEF-4580-AAFC-20340C1E0A48}">
  <sheetPr>
    <tabColor theme="9"/>
  </sheetPr>
  <dimension ref="A1:H198"/>
  <sheetViews>
    <sheetView workbookViewId="0">
      <selection activeCell="B1" sqref="B1:B1048576"/>
    </sheetView>
  </sheetViews>
  <sheetFormatPr defaultRowHeight="15" x14ac:dyDescent="0.25"/>
  <sheetData>
    <row r="1" spans="1:8" ht="135" x14ac:dyDescent="0.25">
      <c r="A1" s="5" t="s">
        <v>0</v>
      </c>
      <c r="B1" s="3" t="s">
        <v>1</v>
      </c>
      <c r="C1" s="4" t="s">
        <v>2</v>
      </c>
      <c r="D1" s="4" t="s">
        <v>3</v>
      </c>
      <c r="E1" s="4" t="s">
        <v>4</v>
      </c>
      <c r="F1" s="4" t="s">
        <v>5</v>
      </c>
      <c r="G1" s="4" t="s">
        <v>6</v>
      </c>
      <c r="H1" s="3"/>
    </row>
    <row r="2" spans="1:8" x14ac:dyDescent="0.25">
      <c r="A2" s="2"/>
      <c r="B2" s="6" t="s">
        <v>7</v>
      </c>
      <c r="C2" s="6"/>
      <c r="D2" s="6"/>
      <c r="E2" s="6"/>
      <c r="F2" s="6"/>
      <c r="G2" s="6"/>
    </row>
    <row r="3" spans="1:8" x14ac:dyDescent="0.25">
      <c r="A3" s="7">
        <v>1</v>
      </c>
      <c r="B3" s="8" t="s">
        <v>8</v>
      </c>
      <c r="C3" s="9">
        <v>0.97199999999999998</v>
      </c>
      <c r="D3" s="10">
        <v>82.691000000000003</v>
      </c>
      <c r="E3" s="10">
        <v>18.850589750000001</v>
      </c>
      <c r="F3" s="10">
        <v>13.908926279999999</v>
      </c>
      <c r="G3" s="7">
        <v>69116.937359999996</v>
      </c>
    </row>
    <row r="4" spans="1:8" x14ac:dyDescent="0.25">
      <c r="A4" s="7">
        <v>2</v>
      </c>
      <c r="B4" s="8" t="s">
        <v>9</v>
      </c>
      <c r="C4" s="9">
        <v>0.97</v>
      </c>
      <c r="D4" s="10">
        <v>83.308000000000007</v>
      </c>
      <c r="E4" s="10">
        <v>18.792850489999999</v>
      </c>
      <c r="F4" s="10">
        <v>13.117962179999999</v>
      </c>
      <c r="G4" s="7">
        <v>112710.0211</v>
      </c>
    </row>
    <row r="5" spans="1:8" x14ac:dyDescent="0.25">
      <c r="A5" s="7">
        <v>2</v>
      </c>
      <c r="B5" s="8" t="s">
        <v>10</v>
      </c>
      <c r="C5" s="9">
        <v>0.97</v>
      </c>
      <c r="D5" s="10">
        <v>83.953999999999994</v>
      </c>
      <c r="E5" s="10">
        <v>16.667530060000001</v>
      </c>
      <c r="F5" s="10">
        <v>13.94912109</v>
      </c>
      <c r="G5" s="7">
        <v>81948.901769999997</v>
      </c>
    </row>
    <row r="6" spans="1:8" x14ac:dyDescent="0.25">
      <c r="A6" s="7">
        <v>4</v>
      </c>
      <c r="B6" s="8" t="s">
        <v>11</v>
      </c>
      <c r="C6" s="9">
        <v>0.96199999999999997</v>
      </c>
      <c r="D6" s="10">
        <v>81.933000000000007</v>
      </c>
      <c r="E6" s="10">
        <v>18.704010010000001</v>
      </c>
      <c r="F6" s="10">
        <v>13.027320599999999</v>
      </c>
      <c r="G6" s="7">
        <v>76007.856690000001</v>
      </c>
    </row>
    <row r="7" spans="1:8" x14ac:dyDescent="0.25">
      <c r="A7" s="7">
        <v>5</v>
      </c>
      <c r="B7" s="8" t="s">
        <v>12</v>
      </c>
      <c r="C7" s="9">
        <v>0.95899999999999996</v>
      </c>
      <c r="D7" s="10">
        <v>81.378</v>
      </c>
      <c r="E7" s="10">
        <v>17.30921936</v>
      </c>
      <c r="F7" s="10">
        <v>14.296371629999999</v>
      </c>
      <c r="G7" s="7">
        <v>64053.221239999999</v>
      </c>
    </row>
    <row r="8" spans="1:8" x14ac:dyDescent="0.25">
      <c r="A8" s="7">
        <v>5</v>
      </c>
      <c r="B8" s="8" t="s">
        <v>13</v>
      </c>
      <c r="C8" s="9">
        <v>0.95899999999999996</v>
      </c>
      <c r="D8" s="10">
        <v>83.262</v>
      </c>
      <c r="E8" s="10">
        <v>18.991470339999999</v>
      </c>
      <c r="F8" s="10">
        <v>12.740325739999999</v>
      </c>
      <c r="G8" s="7">
        <v>66102.085949999993</v>
      </c>
    </row>
    <row r="9" spans="1:8" x14ac:dyDescent="0.25">
      <c r="A9" s="7">
        <v>7</v>
      </c>
      <c r="B9" s="8" t="s">
        <v>14</v>
      </c>
      <c r="C9" s="9">
        <v>0.95799999999999996</v>
      </c>
      <c r="D9" s="10">
        <v>83.923000000000002</v>
      </c>
      <c r="E9" s="10">
        <v>20.654779430000001</v>
      </c>
      <c r="F9" s="10">
        <v>12.869999890000001</v>
      </c>
      <c r="G9" s="7">
        <v>58276.876429999997</v>
      </c>
    </row>
    <row r="10" spans="1:8" x14ac:dyDescent="0.25">
      <c r="A10" s="7">
        <v>8</v>
      </c>
      <c r="B10" s="8" t="s">
        <v>15</v>
      </c>
      <c r="C10" s="9">
        <v>0.95499999999999996</v>
      </c>
      <c r="D10" s="10">
        <v>85.510999999999996</v>
      </c>
      <c r="E10" s="10">
        <v>16.895860670000001</v>
      </c>
      <c r="F10" s="10">
        <v>12.350000380000001</v>
      </c>
      <c r="G10" s="7">
        <v>69435.757060000004</v>
      </c>
    </row>
    <row r="11" spans="1:8" x14ac:dyDescent="0.25">
      <c r="A11" s="7">
        <v>8</v>
      </c>
      <c r="B11" s="8" t="s">
        <v>16</v>
      </c>
      <c r="C11" s="9">
        <v>0.95499999999999996</v>
      </c>
      <c r="D11" s="10">
        <v>82.158000000000001</v>
      </c>
      <c r="E11" s="10">
        <v>18.58485031</v>
      </c>
      <c r="F11" s="10">
        <v>12.66994689</v>
      </c>
      <c r="G11" s="7">
        <v>68344.308260000005</v>
      </c>
    </row>
    <row r="12" spans="1:8" x14ac:dyDescent="0.25">
      <c r="A12" s="7">
        <v>10</v>
      </c>
      <c r="B12" s="8" t="s">
        <v>17</v>
      </c>
      <c r="C12" s="9">
        <v>0.95099999999999996</v>
      </c>
      <c r="D12" s="10">
        <v>82.114999999999995</v>
      </c>
      <c r="E12" s="10">
        <v>18.996030810000001</v>
      </c>
      <c r="F12" s="10">
        <v>12.68965045</v>
      </c>
      <c r="G12" s="7">
        <v>63582.475350000001</v>
      </c>
    </row>
    <row r="13" spans="1:8" x14ac:dyDescent="0.25">
      <c r="A13" s="7">
        <v>11</v>
      </c>
      <c r="B13" s="8" t="s">
        <v>18</v>
      </c>
      <c r="C13" s="9">
        <v>0.94899999999999995</v>
      </c>
      <c r="D13" s="10">
        <v>82.412000000000006</v>
      </c>
      <c r="E13" s="10">
        <v>19.184879299999999</v>
      </c>
      <c r="F13" s="10">
        <v>11.724999560000001</v>
      </c>
      <c r="G13" s="7">
        <v>90884.634590000001</v>
      </c>
    </row>
    <row r="14" spans="1:8" x14ac:dyDescent="0.25">
      <c r="A14" s="7">
        <v>12</v>
      </c>
      <c r="B14" s="8" t="s">
        <v>19</v>
      </c>
      <c r="C14" s="9">
        <v>0.94799999999999995</v>
      </c>
      <c r="D14" s="10">
        <v>81.91</v>
      </c>
      <c r="E14" s="10">
        <v>19.494089129999999</v>
      </c>
      <c r="F14" s="10">
        <v>12.97962547</v>
      </c>
      <c r="G14" s="7">
        <v>57067.636930000001</v>
      </c>
    </row>
    <row r="15" spans="1:8" x14ac:dyDescent="0.25">
      <c r="A15" s="7">
        <v>13</v>
      </c>
      <c r="B15" s="8" t="s">
        <v>20</v>
      </c>
      <c r="C15" s="9">
        <v>0.94599999999999995</v>
      </c>
      <c r="D15" s="10">
        <v>83.736000000000004</v>
      </c>
      <c r="E15" s="10">
        <v>16.74227905</v>
      </c>
      <c r="F15" s="10">
        <v>11.989999770000001</v>
      </c>
      <c r="G15" s="7">
        <v>111239.2291</v>
      </c>
    </row>
    <row r="16" spans="1:8" x14ac:dyDescent="0.25">
      <c r="A16" s="7">
        <v>13</v>
      </c>
      <c r="B16" s="8" t="s">
        <v>21</v>
      </c>
      <c r="C16" s="9">
        <v>0.94599999999999995</v>
      </c>
      <c r="D16" s="10">
        <v>81.302000000000007</v>
      </c>
      <c r="E16" s="10">
        <v>17.811069490000001</v>
      </c>
      <c r="F16" s="10">
        <v>13.489999770000001</v>
      </c>
      <c r="G16" s="7">
        <v>54371.586340000002</v>
      </c>
    </row>
    <row r="17" spans="1:7" x14ac:dyDescent="0.25">
      <c r="A17" s="7">
        <v>15</v>
      </c>
      <c r="B17" s="8" t="s">
        <v>22</v>
      </c>
      <c r="C17" s="9">
        <v>0.94</v>
      </c>
      <c r="D17" s="10">
        <v>82.909000000000006</v>
      </c>
      <c r="E17" s="10">
        <v>15.601590160000001</v>
      </c>
      <c r="F17" s="10">
        <v>12.989999770000001</v>
      </c>
      <c r="G17" s="7">
        <v>71142.304749999996</v>
      </c>
    </row>
    <row r="18" spans="1:7" x14ac:dyDescent="0.25">
      <c r="A18" s="7">
        <v>16</v>
      </c>
      <c r="B18" s="8" t="s">
        <v>23</v>
      </c>
      <c r="C18" s="9">
        <v>0.93899999999999995</v>
      </c>
      <c r="D18" s="10">
        <v>82.63</v>
      </c>
      <c r="E18" s="10">
        <v>15.88825989</v>
      </c>
      <c r="F18" s="10">
        <v>13.869999890000001</v>
      </c>
      <c r="G18" s="7">
        <v>54688.417289999998</v>
      </c>
    </row>
    <row r="19" spans="1:7" x14ac:dyDescent="0.25">
      <c r="A19" s="7">
        <v>17</v>
      </c>
      <c r="B19" s="8" t="s">
        <v>24</v>
      </c>
      <c r="C19" s="9">
        <v>0.93799999999999994</v>
      </c>
      <c r="D19" s="10">
        <v>83.63</v>
      </c>
      <c r="E19" s="10">
        <v>15.412579539999999</v>
      </c>
      <c r="F19" s="10">
        <v>12.40995938</v>
      </c>
      <c r="G19" s="7">
        <v>166811.6741</v>
      </c>
    </row>
    <row r="20" spans="1:7" x14ac:dyDescent="0.25">
      <c r="A20" s="7">
        <v>17</v>
      </c>
      <c r="B20" s="8" t="s">
        <v>25</v>
      </c>
      <c r="C20" s="9">
        <v>0.93799999999999994</v>
      </c>
      <c r="D20" s="10">
        <v>82.087999999999994</v>
      </c>
      <c r="E20" s="10">
        <v>19.30005074</v>
      </c>
      <c r="F20" s="10">
        <v>12.882998069999999</v>
      </c>
      <c r="G20" s="7">
        <v>47259.601369999997</v>
      </c>
    </row>
    <row r="21" spans="1:7" x14ac:dyDescent="0.25">
      <c r="A21" s="7">
        <v>17</v>
      </c>
      <c r="B21" s="8" t="s">
        <v>26</v>
      </c>
      <c r="C21" s="9">
        <v>0.93799999999999994</v>
      </c>
      <c r="D21" s="10">
        <v>79.304000000000002</v>
      </c>
      <c r="E21" s="10">
        <v>15.92300034</v>
      </c>
      <c r="F21" s="10">
        <v>13.90999985</v>
      </c>
      <c r="G21" s="7">
        <v>73650.030769999998</v>
      </c>
    </row>
    <row r="22" spans="1:7" x14ac:dyDescent="0.25">
      <c r="A22" s="7">
        <v>20</v>
      </c>
      <c r="B22" s="8" t="s">
        <v>27</v>
      </c>
      <c r="C22" s="9">
        <v>0.93700000000000006</v>
      </c>
      <c r="D22" s="10">
        <v>84.328999999999994</v>
      </c>
      <c r="E22" s="10">
        <v>16.618640899999999</v>
      </c>
      <c r="F22" s="10">
        <v>12.722198690000001</v>
      </c>
      <c r="G22" s="7">
        <v>49726.453269999998</v>
      </c>
    </row>
    <row r="23" spans="1:7" x14ac:dyDescent="0.25">
      <c r="A23" s="7">
        <v>21</v>
      </c>
      <c r="B23" s="8" t="s">
        <v>28</v>
      </c>
      <c r="C23" s="9">
        <v>0.93100000000000005</v>
      </c>
      <c r="D23" s="10">
        <v>81.602999999999994</v>
      </c>
      <c r="E23" s="10">
        <v>17.477170940000001</v>
      </c>
      <c r="F23" s="10">
        <v>12.951201920000001</v>
      </c>
      <c r="G23" s="7">
        <v>46360.807789999999</v>
      </c>
    </row>
    <row r="24" spans="1:7" x14ac:dyDescent="0.25">
      <c r="A24" s="7">
        <v>22</v>
      </c>
      <c r="B24" s="8" t="s">
        <v>29</v>
      </c>
      <c r="C24" s="9">
        <v>0.93</v>
      </c>
      <c r="D24" s="10">
        <v>81.956000000000003</v>
      </c>
      <c r="E24" s="10">
        <v>16.28428078</v>
      </c>
      <c r="F24" s="10">
        <v>12.36146506</v>
      </c>
      <c r="G24" s="7">
        <v>63479.208429999999</v>
      </c>
    </row>
    <row r="25" spans="1:7" x14ac:dyDescent="0.25">
      <c r="A25" s="7">
        <v>23</v>
      </c>
      <c r="B25" s="8" t="s">
        <v>30</v>
      </c>
      <c r="C25" s="9">
        <v>0.92500000000000004</v>
      </c>
      <c r="D25" s="10">
        <v>84.712000000000003</v>
      </c>
      <c r="E25" s="10">
        <v>15.511980060000001</v>
      </c>
      <c r="F25" s="10">
        <v>12.684046710000001</v>
      </c>
      <c r="G25" s="7">
        <v>47774.609729999996</v>
      </c>
    </row>
    <row r="26" spans="1:7" x14ac:dyDescent="0.25">
      <c r="A26" s="7">
        <v>24</v>
      </c>
      <c r="B26" s="8" t="s">
        <v>31</v>
      </c>
      <c r="C26" s="9">
        <v>0.92400000000000004</v>
      </c>
      <c r="D26" s="10">
        <v>83.299000000000007</v>
      </c>
      <c r="E26" s="10">
        <v>15.90985012</v>
      </c>
      <c r="F26" s="10">
        <v>12.4207021</v>
      </c>
      <c r="G26" s="7">
        <v>52155.074869999997</v>
      </c>
    </row>
    <row r="27" spans="1:7" x14ac:dyDescent="0.25">
      <c r="A27" s="7">
        <v>25</v>
      </c>
      <c r="B27" s="8" t="s">
        <v>32</v>
      </c>
      <c r="C27" s="9">
        <v>0.92200000000000004</v>
      </c>
      <c r="D27" s="10">
        <v>82.228999999999999</v>
      </c>
      <c r="E27" s="10">
        <v>14.35795021</v>
      </c>
      <c r="F27" s="10">
        <v>12.58937195</v>
      </c>
      <c r="G27" s="7">
        <v>85461.248330000002</v>
      </c>
    </row>
    <row r="28" spans="1:7" x14ac:dyDescent="0.25">
      <c r="A28" s="7">
        <v>26</v>
      </c>
      <c r="B28" s="8" t="s">
        <v>33</v>
      </c>
      <c r="C28" s="9">
        <v>0.92</v>
      </c>
      <c r="D28" s="10">
        <v>83.325000000000003</v>
      </c>
      <c r="E28" s="10">
        <v>16.095119480000001</v>
      </c>
      <c r="F28" s="10">
        <v>11.7656677</v>
      </c>
      <c r="G28" s="7">
        <v>55060.160380000001</v>
      </c>
    </row>
    <row r="29" spans="1:7" x14ac:dyDescent="0.25">
      <c r="A29" s="7">
        <v>27</v>
      </c>
      <c r="B29" s="8" t="s">
        <v>34</v>
      </c>
      <c r="C29" s="9">
        <v>0.91900000000000004</v>
      </c>
      <c r="D29" s="10">
        <v>82.408000000000001</v>
      </c>
      <c r="E29" s="10">
        <v>14.93416023</v>
      </c>
      <c r="F29" s="10">
        <v>13.534594739999999</v>
      </c>
      <c r="G29" s="7">
        <v>48050.11176</v>
      </c>
    </row>
    <row r="30" spans="1:7" x14ac:dyDescent="0.25">
      <c r="A30" s="7">
        <v>28</v>
      </c>
      <c r="B30" s="8" t="s">
        <v>35</v>
      </c>
      <c r="C30" s="9">
        <v>0.91800000000000004</v>
      </c>
      <c r="D30" s="10">
        <v>83.67</v>
      </c>
      <c r="E30" s="10">
        <v>17.830310820000001</v>
      </c>
      <c r="F30" s="10">
        <v>10.75612495</v>
      </c>
      <c r="G30" s="7">
        <v>46008.442210000001</v>
      </c>
    </row>
    <row r="31" spans="1:7" x14ac:dyDescent="0.25">
      <c r="A31" s="7">
        <v>29</v>
      </c>
      <c r="B31" s="8" t="s">
        <v>36</v>
      </c>
      <c r="C31" s="9">
        <v>0.91500000000000004</v>
      </c>
      <c r="D31" s="10">
        <v>79.834000000000003</v>
      </c>
      <c r="E31" s="10">
        <v>16.793500900000002</v>
      </c>
      <c r="F31" s="10">
        <v>12.963182140000001</v>
      </c>
      <c r="G31" s="7">
        <v>45889.014009999999</v>
      </c>
    </row>
    <row r="32" spans="1:7" x14ac:dyDescent="0.25">
      <c r="A32" s="7">
        <v>29</v>
      </c>
      <c r="B32" s="8" t="s">
        <v>37</v>
      </c>
      <c r="C32" s="9">
        <v>0.91500000000000004</v>
      </c>
      <c r="D32" s="10">
        <v>83.715999999999994</v>
      </c>
      <c r="E32" s="10">
        <v>16.714199069999999</v>
      </c>
      <c r="F32" s="10">
        <v>10.828128270000001</v>
      </c>
      <c r="G32" s="7">
        <v>52388.88306</v>
      </c>
    </row>
    <row r="33" spans="1:7" x14ac:dyDescent="0.25">
      <c r="A33" s="7">
        <v>29</v>
      </c>
      <c r="B33" s="8" t="s">
        <v>38</v>
      </c>
      <c r="C33" s="9">
        <v>0.91500000000000004</v>
      </c>
      <c r="D33" s="10">
        <v>85.706000000000003</v>
      </c>
      <c r="E33" s="10">
        <v>14.59976717</v>
      </c>
      <c r="F33" s="10">
        <v>11.35999966</v>
      </c>
      <c r="G33" s="7">
        <v>64706.37558</v>
      </c>
    </row>
    <row r="34" spans="1:7" x14ac:dyDescent="0.25">
      <c r="A34" s="7">
        <v>32</v>
      </c>
      <c r="B34" s="8" t="s">
        <v>39</v>
      </c>
      <c r="C34" s="9">
        <v>0.91300000000000003</v>
      </c>
      <c r="D34" s="10">
        <v>84.040999999999997</v>
      </c>
      <c r="E34" s="10">
        <v>14.54279041</v>
      </c>
      <c r="F34" s="10">
        <v>11.60999966</v>
      </c>
      <c r="G34" s="7">
        <v>64631.0749</v>
      </c>
    </row>
    <row r="35" spans="1:7" x14ac:dyDescent="0.25">
      <c r="A35" s="7">
        <v>32</v>
      </c>
      <c r="B35" s="8" t="s">
        <v>40</v>
      </c>
      <c r="C35" s="9">
        <v>0.91300000000000003</v>
      </c>
      <c r="D35" s="10">
        <v>81.647999999999996</v>
      </c>
      <c r="E35" s="10">
        <v>16.215599059999999</v>
      </c>
      <c r="F35" s="10">
        <v>12.5573721</v>
      </c>
      <c r="G35" s="7">
        <v>45394.15625</v>
      </c>
    </row>
    <row r="36" spans="1:7" x14ac:dyDescent="0.25">
      <c r="A36" s="7">
        <v>34</v>
      </c>
      <c r="B36" s="8" t="s">
        <v>41</v>
      </c>
      <c r="C36" s="9">
        <v>0.90800000000000003</v>
      </c>
      <c r="D36" s="10">
        <v>81.856999999999999</v>
      </c>
      <c r="E36" s="10">
        <v>20.845500950000002</v>
      </c>
      <c r="F36" s="10">
        <v>11.553856420000001</v>
      </c>
      <c r="G36" s="7">
        <v>35760.749150000003</v>
      </c>
    </row>
    <row r="37" spans="1:7" x14ac:dyDescent="0.25">
      <c r="A37" s="7">
        <v>35</v>
      </c>
      <c r="B37" s="8" t="s">
        <v>42</v>
      </c>
      <c r="C37" s="9">
        <v>0.90600000000000003</v>
      </c>
      <c r="D37" s="10">
        <v>78.632999999999996</v>
      </c>
      <c r="E37" s="10">
        <v>16.678279880000002</v>
      </c>
      <c r="F37" s="10">
        <v>13.208542420000001</v>
      </c>
      <c r="G37" s="7">
        <v>42217.637779999997</v>
      </c>
    </row>
    <row r="38" spans="1:7" x14ac:dyDescent="0.25">
      <c r="A38" s="7">
        <v>36</v>
      </c>
      <c r="B38" s="8" t="s">
        <v>43</v>
      </c>
      <c r="C38" s="9">
        <v>0.90500000000000003</v>
      </c>
      <c r="D38" s="10">
        <v>79.153000000000006</v>
      </c>
      <c r="E38" s="10">
        <v>15.96786022</v>
      </c>
      <c r="F38" s="10">
        <v>13.562165970000001</v>
      </c>
      <c r="G38" s="7">
        <v>40880.930439999996</v>
      </c>
    </row>
    <row r="39" spans="1:7" x14ac:dyDescent="0.25">
      <c r="A39" s="7">
        <v>37</v>
      </c>
      <c r="B39" s="8" t="s">
        <v>44</v>
      </c>
      <c r="C39" s="9">
        <v>0.9</v>
      </c>
      <c r="D39" s="10">
        <v>78.731999999999999</v>
      </c>
      <c r="E39" s="10">
        <v>16.949430469999999</v>
      </c>
      <c r="F39" s="10">
        <v>11.606427780000001</v>
      </c>
      <c r="G39" s="7">
        <v>50298.913630000003</v>
      </c>
    </row>
    <row r="40" spans="1:7" x14ac:dyDescent="0.25">
      <c r="A40" s="7">
        <v>38</v>
      </c>
      <c r="B40" s="8" t="s">
        <v>45</v>
      </c>
      <c r="C40" s="9">
        <v>0.89900000000000002</v>
      </c>
      <c r="D40" s="10">
        <v>81.284000000000006</v>
      </c>
      <c r="E40" s="10">
        <v>15.92718983</v>
      </c>
      <c r="F40" s="10">
        <v>11.130000109999999</v>
      </c>
      <c r="G40" s="7">
        <v>52818.795380000003</v>
      </c>
    </row>
    <row r="41" spans="1:7" x14ac:dyDescent="0.25">
      <c r="A41" s="7">
        <v>39</v>
      </c>
      <c r="B41" s="8" t="s">
        <v>46</v>
      </c>
      <c r="C41" s="9">
        <v>0.89500000000000002</v>
      </c>
      <c r="D41" s="10">
        <v>76.025000000000006</v>
      </c>
      <c r="E41" s="10">
        <v>16.45467949</v>
      </c>
      <c r="F41" s="10">
        <v>13.610692390000001</v>
      </c>
      <c r="G41" s="7">
        <v>41916.465790000002</v>
      </c>
    </row>
    <row r="42" spans="1:7" x14ac:dyDescent="0.25">
      <c r="A42" s="7">
        <v>40</v>
      </c>
      <c r="B42" s="8" t="s">
        <v>47</v>
      </c>
      <c r="C42" s="9">
        <v>0.89</v>
      </c>
      <c r="D42" s="10">
        <v>82.36</v>
      </c>
      <c r="E42" s="10">
        <v>17.486820219999998</v>
      </c>
      <c r="F42" s="10">
        <v>9.7032544119999997</v>
      </c>
      <c r="G42" s="7">
        <v>41063.92568</v>
      </c>
    </row>
    <row r="43" spans="1:7" x14ac:dyDescent="0.25">
      <c r="A43" s="7">
        <v>41</v>
      </c>
      <c r="B43" s="8" t="s">
        <v>48</v>
      </c>
      <c r="C43" s="9">
        <v>0.88900000000000001</v>
      </c>
      <c r="D43" s="10">
        <v>78.58</v>
      </c>
      <c r="E43" s="10">
        <v>16.34815025</v>
      </c>
      <c r="F43" s="10">
        <v>12.0951217</v>
      </c>
      <c r="G43" s="7">
        <v>41379.890270000004</v>
      </c>
    </row>
    <row r="44" spans="1:7" x14ac:dyDescent="0.25">
      <c r="A44" s="7">
        <v>41</v>
      </c>
      <c r="B44" s="8" t="s">
        <v>49</v>
      </c>
      <c r="C44" s="9">
        <v>0.88900000000000001</v>
      </c>
      <c r="D44" s="10">
        <v>76.19</v>
      </c>
      <c r="E44" s="10">
        <v>16.482650759999999</v>
      </c>
      <c r="F44" s="10">
        <v>13.40943983</v>
      </c>
      <c r="G44" s="7">
        <v>37997.822330000003</v>
      </c>
    </row>
    <row r="45" spans="1:7" x14ac:dyDescent="0.25">
      <c r="A45" s="7">
        <v>43</v>
      </c>
      <c r="B45" s="8" t="s">
        <v>50</v>
      </c>
      <c r="C45" s="9">
        <v>0.88600000000000001</v>
      </c>
      <c r="D45" s="10">
        <v>82.367999999999995</v>
      </c>
      <c r="E45" s="10">
        <v>13.14116001</v>
      </c>
      <c r="F45" s="10">
        <v>10.77000046</v>
      </c>
      <c r="G45" s="7">
        <v>105353.268</v>
      </c>
    </row>
    <row r="46" spans="1:7" x14ac:dyDescent="0.25">
      <c r="A46" s="7">
        <v>44</v>
      </c>
      <c r="B46" s="8" t="s">
        <v>51</v>
      </c>
      <c r="C46" s="9">
        <v>0.88</v>
      </c>
      <c r="D46" s="10">
        <v>78.340999999999994</v>
      </c>
      <c r="E46" s="10">
        <v>14.946849820000001</v>
      </c>
      <c r="F46" s="10">
        <v>13.103203969999999</v>
      </c>
      <c r="G46" s="7">
        <v>36792.988740000001</v>
      </c>
    </row>
    <row r="47" spans="1:7" x14ac:dyDescent="0.25">
      <c r="A47" s="7">
        <v>45</v>
      </c>
      <c r="B47" s="8" t="s">
        <v>52</v>
      </c>
      <c r="C47" s="9">
        <v>0.878</v>
      </c>
      <c r="D47" s="10">
        <v>81.167000000000002</v>
      </c>
      <c r="E47" s="10">
        <v>16.912420269999998</v>
      </c>
      <c r="F47" s="10">
        <v>11.291053939999999</v>
      </c>
      <c r="G47" s="7">
        <v>28047.1698</v>
      </c>
    </row>
    <row r="48" spans="1:7" x14ac:dyDescent="0.25">
      <c r="A48" s="7">
        <v>46</v>
      </c>
      <c r="B48" s="8" t="s">
        <v>53</v>
      </c>
      <c r="C48" s="9">
        <v>0.87</v>
      </c>
      <c r="D48" s="10">
        <v>77.024000000000001</v>
      </c>
      <c r="E48" s="10">
        <v>15.46940041</v>
      </c>
      <c r="F48" s="10">
        <v>12.33162229</v>
      </c>
      <c r="G48" s="7">
        <v>37236.074619999999</v>
      </c>
    </row>
    <row r="49" spans="1:7" x14ac:dyDescent="0.25">
      <c r="A49" s="7">
        <v>47</v>
      </c>
      <c r="B49" s="8" t="s">
        <v>54</v>
      </c>
      <c r="C49" s="9">
        <v>0.86499999999999999</v>
      </c>
      <c r="D49" s="10">
        <v>77.394999999999996</v>
      </c>
      <c r="E49" s="10">
        <v>18.831209179999998</v>
      </c>
      <c r="F49" s="10">
        <v>11.18458184</v>
      </c>
      <c r="G49" s="7">
        <v>25876.053070000002</v>
      </c>
    </row>
    <row r="50" spans="1:7" x14ac:dyDescent="0.25">
      <c r="A50" s="7">
        <v>48</v>
      </c>
      <c r="B50" s="8" t="s">
        <v>55</v>
      </c>
      <c r="C50" s="9">
        <v>0.86199999999999999</v>
      </c>
      <c r="D50" s="10">
        <v>77.087000000000003</v>
      </c>
      <c r="E50" s="10">
        <v>15.53652954</v>
      </c>
      <c r="F50" s="10">
        <v>12.773925719999999</v>
      </c>
      <c r="G50" s="7">
        <v>28026.330399999999</v>
      </c>
    </row>
    <row r="51" spans="1:7" x14ac:dyDescent="0.25">
      <c r="A51" s="7">
        <v>48</v>
      </c>
      <c r="B51" s="8" t="s">
        <v>56</v>
      </c>
      <c r="C51" s="9">
        <v>0.86199999999999999</v>
      </c>
      <c r="D51" s="10">
        <v>78.138000000000005</v>
      </c>
      <c r="E51" s="10">
        <v>17.483959200000001</v>
      </c>
      <c r="F51" s="10">
        <v>10.539999959999999</v>
      </c>
      <c r="G51" s="7">
        <v>28649.82199</v>
      </c>
    </row>
    <row r="52" spans="1:7" x14ac:dyDescent="0.25">
      <c r="A52" s="7">
        <v>50</v>
      </c>
      <c r="B52" s="8" t="s">
        <v>57</v>
      </c>
      <c r="C52" s="9">
        <v>0.85799999999999998</v>
      </c>
      <c r="D52" s="10">
        <v>80.031000000000006</v>
      </c>
      <c r="E52" s="10">
        <v>13.43931961</v>
      </c>
      <c r="F52" s="10">
        <v>11.89000034</v>
      </c>
      <c r="G52" s="7">
        <v>36096.041230000003</v>
      </c>
    </row>
    <row r="53" spans="1:7" x14ac:dyDescent="0.25">
      <c r="A53" s="7">
        <v>51</v>
      </c>
      <c r="B53" s="8" t="s">
        <v>58</v>
      </c>
      <c r="C53" s="9">
        <v>0.85299999999999998</v>
      </c>
      <c r="D53" s="10">
        <v>77.156000000000006</v>
      </c>
      <c r="E53" s="10">
        <v>19.8307991</v>
      </c>
      <c r="F53" s="10">
        <v>8.9862436599999995</v>
      </c>
      <c r="G53" s="7">
        <v>34506.980649999998</v>
      </c>
    </row>
    <row r="54" spans="1:7" x14ac:dyDescent="0.25">
      <c r="A54" s="7">
        <v>52</v>
      </c>
      <c r="B54" s="8" t="s">
        <v>59</v>
      </c>
      <c r="C54" s="9">
        <v>0.85199999999999998</v>
      </c>
      <c r="D54" s="10">
        <v>80.405000000000001</v>
      </c>
      <c r="E54" s="10">
        <v>15.904240290000001</v>
      </c>
      <c r="F54" s="10">
        <v>7.5660071120000003</v>
      </c>
      <c r="G54" s="7">
        <v>56612.046990000003</v>
      </c>
    </row>
    <row r="55" spans="1:7" x14ac:dyDescent="0.25">
      <c r="A55" s="7">
        <v>53</v>
      </c>
      <c r="B55" s="8" t="s">
        <v>60</v>
      </c>
      <c r="C55" s="9">
        <v>0.85099999999999998</v>
      </c>
      <c r="D55" s="10">
        <v>77.597999999999999</v>
      </c>
      <c r="E55" s="10">
        <v>15.50299899</v>
      </c>
      <c r="F55" s="10">
        <v>11.647500040000001</v>
      </c>
      <c r="G55" s="7">
        <v>27386.517930000002</v>
      </c>
    </row>
    <row r="56" spans="1:7" x14ac:dyDescent="0.25">
      <c r="A56" s="7">
        <v>54</v>
      </c>
      <c r="B56" s="8" t="s">
        <v>61</v>
      </c>
      <c r="C56" s="9">
        <v>0.84799999999999998</v>
      </c>
      <c r="D56" s="10">
        <v>72.861999999999995</v>
      </c>
      <c r="E56" s="10">
        <v>18.22489929</v>
      </c>
      <c r="F56" s="10">
        <v>11.199949999999999</v>
      </c>
      <c r="G56" s="7">
        <v>29195.037919999999</v>
      </c>
    </row>
    <row r="57" spans="1:7" x14ac:dyDescent="0.25">
      <c r="A57" s="7">
        <v>55</v>
      </c>
      <c r="B57" s="8" t="s">
        <v>62</v>
      </c>
      <c r="C57" s="9">
        <v>0.84499999999999997</v>
      </c>
      <c r="D57" s="10">
        <v>75.635999999999996</v>
      </c>
      <c r="E57" s="10">
        <v>15.3166399</v>
      </c>
      <c r="F57" s="10">
        <v>11.45453092</v>
      </c>
      <c r="G57" s="7">
        <v>32174.93003</v>
      </c>
    </row>
    <row r="58" spans="1:7" x14ac:dyDescent="0.25">
      <c r="A58" s="7">
        <v>55</v>
      </c>
      <c r="B58" s="8" t="s">
        <v>63</v>
      </c>
      <c r="C58" s="9">
        <v>0.84499999999999997</v>
      </c>
      <c r="D58" s="10">
        <v>75.938000000000002</v>
      </c>
      <c r="E58" s="10">
        <v>14.052880289999999</v>
      </c>
      <c r="F58" s="10">
        <v>11.55000019</v>
      </c>
      <c r="G58" s="7">
        <v>39374.253720000001</v>
      </c>
    </row>
    <row r="59" spans="1:7" x14ac:dyDescent="0.25">
      <c r="A59" s="7">
        <v>57</v>
      </c>
      <c r="B59" s="8" t="s">
        <v>64</v>
      </c>
      <c r="C59" s="9">
        <v>0.84399999999999997</v>
      </c>
      <c r="D59" s="10">
        <v>74.495999999999995</v>
      </c>
      <c r="E59" s="10">
        <v>16.75470924</v>
      </c>
      <c r="F59" s="10">
        <v>12.69999981</v>
      </c>
      <c r="G59" s="7">
        <v>20752.570090000001</v>
      </c>
    </row>
    <row r="60" spans="1:7" x14ac:dyDescent="0.25">
      <c r="A60" s="7">
        <v>58</v>
      </c>
      <c r="B60" s="8" t="s">
        <v>65</v>
      </c>
      <c r="C60" s="9">
        <v>0.84</v>
      </c>
      <c r="D60" s="10">
        <v>72.144999999999996</v>
      </c>
      <c r="E60" s="10">
        <v>18.407030110000001</v>
      </c>
      <c r="F60" s="10">
        <v>10.8494008</v>
      </c>
      <c r="G60" s="7">
        <v>29105.437430000002</v>
      </c>
    </row>
    <row r="61" spans="1:7" x14ac:dyDescent="0.25">
      <c r="A61" s="7">
        <v>59</v>
      </c>
      <c r="B61" s="8" t="s">
        <v>66</v>
      </c>
      <c r="C61" s="9">
        <v>0.83899999999999997</v>
      </c>
      <c r="D61" s="10">
        <v>79.593999999999994</v>
      </c>
      <c r="E61" s="10">
        <v>13.311609799999999</v>
      </c>
      <c r="F61" s="10">
        <v>10.833750950000001</v>
      </c>
      <c r="G61" s="7">
        <v>34384.56813</v>
      </c>
    </row>
    <row r="62" spans="1:7" x14ac:dyDescent="0.25">
      <c r="A62" s="7">
        <v>60</v>
      </c>
      <c r="B62" s="8" t="s">
        <v>67</v>
      </c>
      <c r="C62" s="9">
        <v>0.83699999999999997</v>
      </c>
      <c r="D62" s="10">
        <v>75.326999999999998</v>
      </c>
      <c r="E62" s="10">
        <v>13.698619839999999</v>
      </c>
      <c r="F62" s="10">
        <v>9.282</v>
      </c>
      <c r="G62" s="7">
        <v>75826.873380000005</v>
      </c>
    </row>
    <row r="63" spans="1:7" x14ac:dyDescent="0.25">
      <c r="A63" s="7">
        <v>60</v>
      </c>
      <c r="B63" s="8" t="s">
        <v>68</v>
      </c>
      <c r="C63" s="9">
        <v>0.83699999999999997</v>
      </c>
      <c r="D63" s="10">
        <v>74.402000000000001</v>
      </c>
      <c r="E63" s="10">
        <v>14.0086174</v>
      </c>
      <c r="F63" s="10">
        <v>12.54717423</v>
      </c>
      <c r="G63" s="7">
        <v>30988.528439999998</v>
      </c>
    </row>
    <row r="64" spans="1:7" x14ac:dyDescent="0.25">
      <c r="A64" s="7">
        <v>62</v>
      </c>
      <c r="B64" s="8" t="s">
        <v>69</v>
      </c>
      <c r="C64" s="9">
        <v>0.83299999999999996</v>
      </c>
      <c r="D64" s="10">
        <v>80.799000000000007</v>
      </c>
      <c r="E64" s="10">
        <v>16.349636870000001</v>
      </c>
      <c r="F64" s="10">
        <v>8.8447524990000002</v>
      </c>
      <c r="G64" s="7">
        <v>23417.21315</v>
      </c>
    </row>
    <row r="65" spans="1:7" x14ac:dyDescent="0.25">
      <c r="A65" s="7">
        <v>62</v>
      </c>
      <c r="B65" s="8" t="s">
        <v>70</v>
      </c>
      <c r="C65" s="9">
        <v>0.83299999999999996</v>
      </c>
      <c r="D65" s="10">
        <v>76.769000000000005</v>
      </c>
      <c r="E65" s="10">
        <v>15.04216003</v>
      </c>
      <c r="F65" s="10">
        <v>11.64171812</v>
      </c>
      <c r="G65" s="7">
        <v>23114.809529999999</v>
      </c>
    </row>
    <row r="66" spans="1:7" x14ac:dyDescent="0.25">
      <c r="A66" s="7">
        <v>64</v>
      </c>
      <c r="B66" s="8" t="s">
        <v>71</v>
      </c>
      <c r="C66" s="9">
        <v>0.83199999999999996</v>
      </c>
      <c r="D66" s="10">
        <v>73.153999999999996</v>
      </c>
      <c r="E66" s="10">
        <v>13.18515015</v>
      </c>
      <c r="F66" s="10">
        <v>12.40999985</v>
      </c>
      <c r="G66" s="7">
        <v>39221.683590000001</v>
      </c>
    </row>
    <row r="67" spans="1:7" x14ac:dyDescent="0.25">
      <c r="A67" s="7">
        <v>65</v>
      </c>
      <c r="B67" s="8" t="s">
        <v>72</v>
      </c>
      <c r="C67" s="9">
        <v>0.82399999999999995</v>
      </c>
      <c r="D67" s="10">
        <v>74.433999999999997</v>
      </c>
      <c r="E67" s="10">
        <v>13.718810080000001</v>
      </c>
      <c r="F67" s="10">
        <v>12.335372980000001</v>
      </c>
      <c r="G67" s="7">
        <v>26724.870999999999</v>
      </c>
    </row>
    <row r="68" spans="1:7" x14ac:dyDescent="0.25">
      <c r="A68" s="7">
        <v>66</v>
      </c>
      <c r="B68" s="8" t="s">
        <v>73</v>
      </c>
      <c r="C68" s="9">
        <v>0.82</v>
      </c>
      <c r="D68" s="10">
        <v>74.552000000000007</v>
      </c>
      <c r="E68" s="10">
        <v>11.891379710000001</v>
      </c>
      <c r="F68" s="10">
        <v>12.814419040000001</v>
      </c>
      <c r="G68" s="7">
        <v>30974.68074</v>
      </c>
    </row>
    <row r="69" spans="1:7" x14ac:dyDescent="0.25">
      <c r="A69" s="7">
        <v>67</v>
      </c>
      <c r="B69" s="8" t="s">
        <v>74</v>
      </c>
      <c r="C69" s="9">
        <v>0.81899999999999995</v>
      </c>
      <c r="D69" s="10">
        <v>76.656999999999996</v>
      </c>
      <c r="E69" s="10">
        <v>12.67639256</v>
      </c>
      <c r="F69" s="10">
        <v>11.09000015</v>
      </c>
      <c r="G69" s="7">
        <v>32553.091079999998</v>
      </c>
    </row>
    <row r="70" spans="1:7" x14ac:dyDescent="0.25">
      <c r="A70" s="7">
        <v>68</v>
      </c>
      <c r="B70" s="8" t="s">
        <v>75</v>
      </c>
      <c r="C70" s="9">
        <v>0.81499999999999995</v>
      </c>
      <c r="D70" s="10">
        <v>77.394999999999996</v>
      </c>
      <c r="E70" s="10">
        <v>14.781439779999999</v>
      </c>
      <c r="F70" s="10">
        <v>10.22999954</v>
      </c>
      <c r="G70" s="7">
        <v>22128.394609999999</v>
      </c>
    </row>
    <row r="71" spans="1:7" x14ac:dyDescent="0.25">
      <c r="A71" s="7">
        <v>69</v>
      </c>
      <c r="B71" s="8" t="s">
        <v>76</v>
      </c>
      <c r="C71" s="9">
        <v>0.81100000000000005</v>
      </c>
      <c r="D71" s="10">
        <v>75.683000000000007</v>
      </c>
      <c r="E71" s="10">
        <v>14.3838501</v>
      </c>
      <c r="F71" s="10">
        <v>11.344978210000001</v>
      </c>
      <c r="G71" s="7">
        <v>20220.723190000001</v>
      </c>
    </row>
    <row r="72" spans="1:7" x14ac:dyDescent="0.25">
      <c r="A72" s="7">
        <v>69</v>
      </c>
      <c r="B72" s="8" t="s">
        <v>77</v>
      </c>
      <c r="C72" s="9">
        <v>0.81100000000000005</v>
      </c>
      <c r="D72" s="10">
        <v>76.177999999999997</v>
      </c>
      <c r="E72" s="10">
        <v>16.6280018</v>
      </c>
      <c r="F72" s="10">
        <v>9.9283568899999999</v>
      </c>
      <c r="G72" s="7">
        <v>17327.520469999999</v>
      </c>
    </row>
    <row r="73" spans="1:7" x14ac:dyDescent="0.25">
      <c r="A73" s="7">
        <v>71</v>
      </c>
      <c r="B73" s="8" t="s">
        <v>78</v>
      </c>
      <c r="C73" s="9">
        <v>0.81</v>
      </c>
      <c r="D73" s="10">
        <v>79.602000000000004</v>
      </c>
      <c r="E73" s="10">
        <v>14.51014996</v>
      </c>
      <c r="F73" s="10">
        <v>10.17531099</v>
      </c>
      <c r="G73" s="7">
        <v>17627.394039999999</v>
      </c>
    </row>
    <row r="74" spans="1:7" x14ac:dyDescent="0.25">
      <c r="A74" s="7">
        <v>72</v>
      </c>
      <c r="B74" s="8" t="s">
        <v>79</v>
      </c>
      <c r="C74" s="9">
        <v>0.80700000000000005</v>
      </c>
      <c r="D74" s="10">
        <v>73.489999999999995</v>
      </c>
      <c r="E74" s="10">
        <v>14.23764336</v>
      </c>
      <c r="F74" s="10">
        <v>10.792750359999999</v>
      </c>
      <c r="G74" s="7">
        <v>27000.145110000001</v>
      </c>
    </row>
    <row r="75" spans="1:7" x14ac:dyDescent="0.25">
      <c r="A75" s="7">
        <v>73</v>
      </c>
      <c r="B75" s="8" t="s">
        <v>80</v>
      </c>
      <c r="C75" s="9">
        <v>0.80600000000000005</v>
      </c>
      <c r="D75" s="10">
        <v>74.926000000000002</v>
      </c>
      <c r="E75" s="10">
        <v>14.16282114</v>
      </c>
      <c r="F75" s="10">
        <v>10.10332754</v>
      </c>
      <c r="G75" s="7">
        <v>27279.96011</v>
      </c>
    </row>
    <row r="76" spans="1:7" x14ac:dyDescent="0.25">
      <c r="A76" s="7">
        <v>74</v>
      </c>
      <c r="B76" s="8" t="s">
        <v>81</v>
      </c>
      <c r="C76" s="9">
        <v>0.80400000000000005</v>
      </c>
      <c r="D76" s="10">
        <v>77.849999999999994</v>
      </c>
      <c r="E76" s="10">
        <v>13.16394043</v>
      </c>
      <c r="F76" s="10">
        <v>10.97000027</v>
      </c>
      <c r="G76" s="7">
        <v>19827.48588</v>
      </c>
    </row>
    <row r="77" spans="1:7" x14ac:dyDescent="0.25">
      <c r="A77" s="2"/>
      <c r="B77" s="6" t="s">
        <v>82</v>
      </c>
      <c r="C77" s="6"/>
      <c r="D77" s="6"/>
      <c r="E77" s="6"/>
      <c r="F77" s="6"/>
      <c r="G77" s="6"/>
    </row>
    <row r="78" spans="1:7" x14ac:dyDescent="0.25">
      <c r="A78" s="7">
        <v>75</v>
      </c>
      <c r="B78" s="8" t="s">
        <v>83</v>
      </c>
      <c r="C78" s="9">
        <v>0.79900000000000004</v>
      </c>
      <c r="D78" s="10">
        <v>77.653999999999996</v>
      </c>
      <c r="E78" s="10">
        <v>13.968330610000001</v>
      </c>
      <c r="F78" s="10">
        <v>10.84671198</v>
      </c>
      <c r="G78" s="7">
        <v>16095.77169</v>
      </c>
    </row>
    <row r="79" spans="1:7" x14ac:dyDescent="0.25">
      <c r="A79" s="7">
        <v>76</v>
      </c>
      <c r="B79" s="8" t="s">
        <v>84</v>
      </c>
      <c r="C79" s="9">
        <v>0.79800000000000004</v>
      </c>
      <c r="D79" s="10">
        <v>71.23</v>
      </c>
      <c r="E79" s="10">
        <v>16.2530213</v>
      </c>
      <c r="F79" s="10">
        <v>11.295349679999999</v>
      </c>
      <c r="G79" s="7">
        <v>17246.63609</v>
      </c>
    </row>
    <row r="80" spans="1:7" x14ac:dyDescent="0.25">
      <c r="A80" s="7">
        <v>76</v>
      </c>
      <c r="B80" s="8" t="s">
        <v>85</v>
      </c>
      <c r="C80" s="9">
        <v>0.79800000000000004</v>
      </c>
      <c r="D80" s="10">
        <v>76.412000000000006</v>
      </c>
      <c r="E80" s="10">
        <v>15.35883492</v>
      </c>
      <c r="F80" s="10">
        <v>9.0399999619999996</v>
      </c>
      <c r="G80" s="7">
        <v>20569.901760000001</v>
      </c>
    </row>
    <row r="81" spans="1:7" x14ac:dyDescent="0.25">
      <c r="A81" s="7">
        <v>78</v>
      </c>
      <c r="B81" s="8" t="s">
        <v>86</v>
      </c>
      <c r="C81" s="9">
        <v>0.79700000000000004</v>
      </c>
      <c r="D81" s="10">
        <v>77.953000000000003</v>
      </c>
      <c r="E81" s="10">
        <v>15.478749499999999</v>
      </c>
      <c r="F81" s="10">
        <v>8.0361815970000006</v>
      </c>
      <c r="G81" s="7">
        <v>22029.222529999999</v>
      </c>
    </row>
    <row r="82" spans="1:7" x14ac:dyDescent="0.25">
      <c r="A82" s="7">
        <v>79</v>
      </c>
      <c r="B82" s="8" t="s">
        <v>87</v>
      </c>
      <c r="C82" s="9">
        <v>0.79400000000000004</v>
      </c>
      <c r="D82" s="10">
        <v>77.739999999999995</v>
      </c>
      <c r="E82" s="10">
        <v>14.90939376</v>
      </c>
      <c r="F82" s="10">
        <v>10.15465159</v>
      </c>
      <c r="G82" s="7">
        <v>14338.709769999999</v>
      </c>
    </row>
    <row r="83" spans="1:7" x14ac:dyDescent="0.25">
      <c r="A83" s="7">
        <v>80</v>
      </c>
      <c r="B83" s="8" t="s">
        <v>88</v>
      </c>
      <c r="C83" s="9">
        <v>0.79100000000000004</v>
      </c>
      <c r="D83" s="10">
        <v>75.204999999999998</v>
      </c>
      <c r="E83" s="10">
        <v>16.577289189999998</v>
      </c>
      <c r="F83" s="10">
        <v>9.4463993070000001</v>
      </c>
      <c r="G83" s="7">
        <v>14349.028039999999</v>
      </c>
    </row>
    <row r="84" spans="1:7" x14ac:dyDescent="0.25">
      <c r="A84" s="7">
        <v>81</v>
      </c>
      <c r="B84" s="8" t="s">
        <v>89</v>
      </c>
      <c r="C84" s="9">
        <v>0.78900000000000003</v>
      </c>
      <c r="D84" s="10">
        <v>74.429000000000002</v>
      </c>
      <c r="E84" s="10">
        <v>12.90977955</v>
      </c>
      <c r="F84" s="10">
        <v>11.06999969</v>
      </c>
      <c r="G84" s="7">
        <v>20667.957289999998</v>
      </c>
    </row>
    <row r="85" spans="1:7" x14ac:dyDescent="0.25">
      <c r="A85" s="7">
        <v>81</v>
      </c>
      <c r="B85" s="8" t="s">
        <v>90</v>
      </c>
      <c r="C85" s="9">
        <v>0.78900000000000003</v>
      </c>
      <c r="D85" s="10">
        <v>75.069000000000003</v>
      </c>
      <c r="E85" s="10">
        <v>14.468110080000001</v>
      </c>
      <c r="F85" s="10">
        <v>9.3495109339999996</v>
      </c>
      <c r="G85" s="7">
        <v>21812.65566</v>
      </c>
    </row>
    <row r="86" spans="1:7" x14ac:dyDescent="0.25">
      <c r="A86" s="7">
        <v>83</v>
      </c>
      <c r="B86" s="8" t="s">
        <v>91</v>
      </c>
      <c r="C86" s="9">
        <v>0.78800000000000003</v>
      </c>
      <c r="D86" s="10">
        <v>77.724999999999994</v>
      </c>
      <c r="E86" s="10">
        <v>14.286410330000001</v>
      </c>
      <c r="F86" s="10">
        <v>9.0315815970000006</v>
      </c>
      <c r="G86" s="7">
        <v>18665.949670000002</v>
      </c>
    </row>
    <row r="87" spans="1:7" x14ac:dyDescent="0.25">
      <c r="A87" s="7">
        <v>84</v>
      </c>
      <c r="B87" s="8" t="s">
        <v>92</v>
      </c>
      <c r="C87" s="9">
        <v>0.78600000000000003</v>
      </c>
      <c r="D87" s="10">
        <v>75.847999999999999</v>
      </c>
      <c r="E87" s="10">
        <v>15.7927103</v>
      </c>
      <c r="F87" s="10">
        <v>8.4253717520000002</v>
      </c>
      <c r="G87" s="7">
        <v>18011.285459999999</v>
      </c>
    </row>
    <row r="88" spans="1:7" x14ac:dyDescent="0.25">
      <c r="A88" s="7">
        <v>84</v>
      </c>
      <c r="B88" s="8" t="s">
        <v>93</v>
      </c>
      <c r="C88" s="9">
        <v>0.78600000000000003</v>
      </c>
      <c r="D88" s="10">
        <v>69.269000000000005</v>
      </c>
      <c r="E88" s="10">
        <v>14.06742382</v>
      </c>
      <c r="F88" s="10">
        <v>13.29903477</v>
      </c>
      <c r="G88" s="7">
        <v>16034.51036</v>
      </c>
    </row>
    <row r="89" spans="1:7" x14ac:dyDescent="0.25">
      <c r="A89" s="7">
        <v>86</v>
      </c>
      <c r="B89" s="8" t="s">
        <v>94</v>
      </c>
      <c r="C89" s="9">
        <v>0.78500000000000003</v>
      </c>
      <c r="D89" s="10">
        <v>71.197999999999993</v>
      </c>
      <c r="E89" s="10">
        <v>14.638568469999999</v>
      </c>
      <c r="F89" s="10">
        <v>11.829999920000001</v>
      </c>
      <c r="G89" s="7">
        <v>15866.54207</v>
      </c>
    </row>
    <row r="90" spans="1:7" x14ac:dyDescent="0.25">
      <c r="A90" s="7">
        <v>87</v>
      </c>
      <c r="B90" s="8" t="s">
        <v>95</v>
      </c>
      <c r="C90" s="9">
        <v>0.77900000000000003</v>
      </c>
      <c r="D90" s="10">
        <v>73.421999999999997</v>
      </c>
      <c r="E90" s="10">
        <v>13.328009610000001</v>
      </c>
      <c r="F90" s="10">
        <v>11.12273899</v>
      </c>
      <c r="G90" s="7">
        <v>16933.144530000001</v>
      </c>
    </row>
    <row r="91" spans="1:7" x14ac:dyDescent="0.25">
      <c r="A91" s="7">
        <v>88</v>
      </c>
      <c r="B91" s="8" t="s">
        <v>96</v>
      </c>
      <c r="C91" s="9">
        <v>0.77700000000000002</v>
      </c>
      <c r="D91" s="10">
        <v>77.391999999999996</v>
      </c>
      <c r="E91" s="10">
        <v>14.85167027</v>
      </c>
      <c r="F91" s="10">
        <v>8.9700002669999996</v>
      </c>
      <c r="G91" s="7">
        <v>13986.39698</v>
      </c>
    </row>
    <row r="92" spans="1:7" x14ac:dyDescent="0.25">
      <c r="A92" s="7">
        <v>89</v>
      </c>
      <c r="B92" s="8" t="s">
        <v>97</v>
      </c>
      <c r="C92" s="9">
        <v>0.77600000000000002</v>
      </c>
      <c r="D92" s="10">
        <v>73.72</v>
      </c>
      <c r="E92" s="10">
        <v>13.61692047</v>
      </c>
      <c r="F92" s="10">
        <v>9.4445257560000009</v>
      </c>
      <c r="G92" s="7">
        <v>22023.510590000002</v>
      </c>
    </row>
    <row r="93" spans="1:7" x14ac:dyDescent="0.25">
      <c r="A93" s="7">
        <v>89</v>
      </c>
      <c r="B93" s="8" t="s">
        <v>98</v>
      </c>
      <c r="C93" s="9">
        <v>0.77600000000000002</v>
      </c>
      <c r="D93" s="10">
        <v>70.180000000000007</v>
      </c>
      <c r="E93" s="10">
        <v>13.022057650000001</v>
      </c>
      <c r="F93" s="10">
        <v>8.7024296719999992</v>
      </c>
      <c r="G93" s="7">
        <v>46959.251730000004</v>
      </c>
    </row>
    <row r="94" spans="1:7" x14ac:dyDescent="0.25">
      <c r="A94" s="7">
        <v>89</v>
      </c>
      <c r="B94" s="8" t="s">
        <v>99</v>
      </c>
      <c r="C94" s="9">
        <v>0.77600000000000002</v>
      </c>
      <c r="D94" s="10">
        <v>77.483000000000004</v>
      </c>
      <c r="E94" s="10">
        <v>13.12815666</v>
      </c>
      <c r="F94" s="10">
        <v>10.77000046</v>
      </c>
      <c r="G94" s="7">
        <v>12615.60045</v>
      </c>
    </row>
    <row r="95" spans="1:7" x14ac:dyDescent="0.25">
      <c r="A95" s="7">
        <v>92</v>
      </c>
      <c r="B95" s="8" t="s">
        <v>100</v>
      </c>
      <c r="C95" s="9">
        <v>0.76900000000000002</v>
      </c>
      <c r="D95" s="10">
        <v>72.894999999999996</v>
      </c>
      <c r="E95" s="10">
        <v>17.786930179999999</v>
      </c>
      <c r="F95" s="10">
        <v>10.914948949999999</v>
      </c>
      <c r="G95" s="7">
        <v>7438.2100920000003</v>
      </c>
    </row>
    <row r="96" spans="1:7" x14ac:dyDescent="0.25">
      <c r="A96" s="7">
        <v>93</v>
      </c>
      <c r="B96" s="8" t="s">
        <v>101</v>
      </c>
      <c r="C96" s="9">
        <v>0.76600000000000001</v>
      </c>
      <c r="D96" s="10">
        <v>81.040999999999997</v>
      </c>
      <c r="E96" s="10">
        <v>12.76840687</v>
      </c>
      <c r="F96" s="10">
        <v>7.4103728660000003</v>
      </c>
      <c r="G96" s="7">
        <v>19317.31882</v>
      </c>
    </row>
    <row r="97" spans="1:7" x14ac:dyDescent="0.25">
      <c r="A97" s="7">
        <v>93</v>
      </c>
      <c r="B97" s="8" t="s">
        <v>102</v>
      </c>
      <c r="C97" s="9">
        <v>0.76600000000000001</v>
      </c>
      <c r="D97" s="10">
        <v>74.587999999999994</v>
      </c>
      <c r="E97" s="10">
        <v>15.457715029999999</v>
      </c>
      <c r="F97" s="10">
        <v>8.9799995419999998</v>
      </c>
      <c r="G97" s="7">
        <v>13032.635329999999</v>
      </c>
    </row>
    <row r="98" spans="1:7" x14ac:dyDescent="0.25">
      <c r="A98" s="7">
        <v>95</v>
      </c>
      <c r="B98" s="8" t="s">
        <v>103</v>
      </c>
      <c r="C98" s="9">
        <v>0.76400000000000001</v>
      </c>
      <c r="D98" s="10">
        <v>70.072999999999993</v>
      </c>
      <c r="E98" s="10">
        <v>13.240579609999999</v>
      </c>
      <c r="F98" s="10">
        <v>11.20780193</v>
      </c>
      <c r="G98" s="7">
        <v>17715.58167</v>
      </c>
    </row>
    <row r="99" spans="1:7" x14ac:dyDescent="0.25">
      <c r="A99" s="7">
        <v>96</v>
      </c>
      <c r="B99" s="8" t="s">
        <v>104</v>
      </c>
      <c r="C99" s="9">
        <v>0.76300000000000001</v>
      </c>
      <c r="D99" s="10">
        <v>76.260999999999996</v>
      </c>
      <c r="E99" s="10">
        <v>15.4951601</v>
      </c>
      <c r="F99" s="10">
        <v>7.4163869870000001</v>
      </c>
      <c r="G99" s="7">
        <v>15114.17175</v>
      </c>
    </row>
    <row r="100" spans="1:7" x14ac:dyDescent="0.25">
      <c r="A100" s="7">
        <v>97</v>
      </c>
      <c r="B100" s="8" t="s">
        <v>105</v>
      </c>
      <c r="C100" s="9">
        <v>0.76200000000000001</v>
      </c>
      <c r="D100" s="10">
        <v>78.084999999999994</v>
      </c>
      <c r="E100" s="10">
        <v>13.87884045</v>
      </c>
      <c r="F100" s="10">
        <v>10.631489029999999</v>
      </c>
      <c r="G100" s="7">
        <v>8415.4117079999996</v>
      </c>
    </row>
    <row r="101" spans="1:7" x14ac:dyDescent="0.25">
      <c r="A101" s="7">
        <v>98</v>
      </c>
      <c r="B101" s="8" t="s">
        <v>106</v>
      </c>
      <c r="C101" s="9">
        <v>0.76100000000000001</v>
      </c>
      <c r="D101" s="10">
        <v>71.132000000000005</v>
      </c>
      <c r="E101" s="10">
        <v>14.150999669999999</v>
      </c>
      <c r="F101" s="10">
        <v>10.12508965</v>
      </c>
      <c r="G101" s="7">
        <v>16001.12551</v>
      </c>
    </row>
    <row r="102" spans="1:7" x14ac:dyDescent="0.25">
      <c r="A102" s="7">
        <v>99</v>
      </c>
      <c r="B102" s="8" t="s">
        <v>107</v>
      </c>
      <c r="C102" s="9">
        <v>0.75600000000000001</v>
      </c>
      <c r="D102" s="10">
        <v>73.843999999999994</v>
      </c>
      <c r="E102" s="10">
        <v>13.98706964</v>
      </c>
      <c r="F102" s="10">
        <v>8.9306533849999994</v>
      </c>
      <c r="G102" s="7">
        <v>15252.220160000001</v>
      </c>
    </row>
    <row r="103" spans="1:7" x14ac:dyDescent="0.25">
      <c r="A103" s="7">
        <v>100</v>
      </c>
      <c r="B103" s="8" t="s">
        <v>108</v>
      </c>
      <c r="C103" s="9">
        <v>0.754</v>
      </c>
      <c r="D103" s="10">
        <v>71.632999999999996</v>
      </c>
      <c r="E103" s="10">
        <v>13.12716193</v>
      </c>
      <c r="F103" s="10">
        <v>10.136119620000001</v>
      </c>
      <c r="G103" s="7">
        <v>16218.13521</v>
      </c>
    </row>
    <row r="104" spans="1:7" x14ac:dyDescent="0.25">
      <c r="A104" s="7">
        <v>100</v>
      </c>
      <c r="B104" s="8" t="s">
        <v>109</v>
      </c>
      <c r="C104" s="9">
        <v>0.754</v>
      </c>
      <c r="D104" s="10">
        <v>77.813999999999993</v>
      </c>
      <c r="E104" s="10">
        <v>13.109049799999999</v>
      </c>
      <c r="F104" s="10">
        <v>10.239999770000001</v>
      </c>
      <c r="G104" s="7">
        <v>9221.8723580000005</v>
      </c>
    </row>
    <row r="105" spans="1:7" x14ac:dyDescent="0.25">
      <c r="A105" s="7">
        <v>102</v>
      </c>
      <c r="B105" s="8" t="s">
        <v>110</v>
      </c>
      <c r="C105" s="9">
        <v>0.752</v>
      </c>
      <c r="D105" s="10">
        <v>77.816999999999993</v>
      </c>
      <c r="E105" s="10">
        <v>11.68299961</v>
      </c>
      <c r="F105" s="10">
        <v>10.369999890000001</v>
      </c>
      <c r="G105" s="7">
        <v>11298.88724</v>
      </c>
    </row>
    <row r="106" spans="1:7" x14ac:dyDescent="0.25">
      <c r="A106" s="7">
        <v>103</v>
      </c>
      <c r="B106" s="8" t="s">
        <v>111</v>
      </c>
      <c r="C106" s="9">
        <v>0.748</v>
      </c>
      <c r="D106" s="10">
        <v>72.697000000000003</v>
      </c>
      <c r="E106" s="10">
        <v>12.73040962</v>
      </c>
      <c r="F106" s="10">
        <v>8.6141670549999994</v>
      </c>
      <c r="G106" s="7">
        <v>20899.781930000001</v>
      </c>
    </row>
    <row r="107" spans="1:7" x14ac:dyDescent="0.25">
      <c r="A107" s="7">
        <v>104</v>
      </c>
      <c r="B107" s="8" t="s">
        <v>112</v>
      </c>
      <c r="C107" s="9">
        <v>0.747</v>
      </c>
      <c r="D107" s="10">
        <v>71.733999999999995</v>
      </c>
      <c r="E107" s="10">
        <v>13.637654299999999</v>
      </c>
      <c r="F107" s="10">
        <v>9.4200000760000009</v>
      </c>
      <c r="G107" s="7">
        <v>14787.08237</v>
      </c>
    </row>
    <row r="108" spans="1:7" x14ac:dyDescent="0.25">
      <c r="A108" s="7">
        <v>105</v>
      </c>
      <c r="B108" s="8" t="s">
        <v>113</v>
      </c>
      <c r="C108" s="9">
        <v>0.746</v>
      </c>
      <c r="D108" s="10">
        <v>76.507999999999996</v>
      </c>
      <c r="E108" s="10">
        <v>14.673498560000001</v>
      </c>
      <c r="F108" s="10">
        <v>7.5949201579999999</v>
      </c>
      <c r="G108" s="7">
        <v>12011.387849999999</v>
      </c>
    </row>
    <row r="109" spans="1:7" x14ac:dyDescent="0.25">
      <c r="A109" s="7">
        <v>106</v>
      </c>
      <c r="B109" s="8" t="s">
        <v>114</v>
      </c>
      <c r="C109" s="9">
        <v>0.74099999999999999</v>
      </c>
      <c r="D109" s="10">
        <v>66.138999999999996</v>
      </c>
      <c r="E109" s="10">
        <v>13.79325008</v>
      </c>
      <c r="F109" s="10">
        <v>11.60999966</v>
      </c>
      <c r="G109" s="7">
        <v>13693.988579999999</v>
      </c>
    </row>
    <row r="110" spans="1:7" x14ac:dyDescent="0.25">
      <c r="A110" s="7">
        <v>107</v>
      </c>
      <c r="B110" s="8" t="s">
        <v>115</v>
      </c>
      <c r="C110" s="9">
        <v>0.74</v>
      </c>
      <c r="D110" s="10">
        <v>72.388000000000005</v>
      </c>
      <c r="E110" s="10">
        <v>12.46086979</v>
      </c>
      <c r="F110" s="10">
        <v>11.90999985</v>
      </c>
      <c r="G110" s="7">
        <v>8825.7308929999999</v>
      </c>
    </row>
    <row r="111" spans="1:7" x14ac:dyDescent="0.25">
      <c r="A111" s="7">
        <v>108</v>
      </c>
      <c r="B111" s="8" t="s">
        <v>116</v>
      </c>
      <c r="C111" s="9">
        <v>0.73299999999999998</v>
      </c>
      <c r="D111" s="10">
        <v>68.581000000000003</v>
      </c>
      <c r="E111" s="10">
        <v>15.610650059999999</v>
      </c>
      <c r="F111" s="10">
        <v>10.021223190000001</v>
      </c>
      <c r="G111" s="7">
        <v>9445.2448679999998</v>
      </c>
    </row>
    <row r="112" spans="1:7" x14ac:dyDescent="0.25">
      <c r="A112" s="7">
        <v>108</v>
      </c>
      <c r="B112" s="8" t="s">
        <v>117</v>
      </c>
      <c r="C112" s="9">
        <v>0.73299999999999998</v>
      </c>
      <c r="D112" s="10">
        <v>68.337000000000003</v>
      </c>
      <c r="E112" s="10">
        <v>12.482758889999999</v>
      </c>
      <c r="F112" s="10">
        <v>9.6859999999999999</v>
      </c>
      <c r="G112" s="7">
        <v>18854.06151</v>
      </c>
    </row>
    <row r="113" spans="1:7" x14ac:dyDescent="0.25">
      <c r="A113" s="7">
        <v>108</v>
      </c>
      <c r="B113" s="8" t="s">
        <v>118</v>
      </c>
      <c r="C113" s="9">
        <v>0.73299999999999998</v>
      </c>
      <c r="D113" s="10">
        <v>66.944999999999993</v>
      </c>
      <c r="E113" s="10">
        <v>16.386060709999999</v>
      </c>
      <c r="F113" s="10">
        <v>11.636664400000001</v>
      </c>
      <c r="G113" s="7">
        <v>7223.860831</v>
      </c>
    </row>
    <row r="114" spans="1:7" x14ac:dyDescent="0.25">
      <c r="A114" s="7">
        <v>111</v>
      </c>
      <c r="B114" s="8" t="s">
        <v>119</v>
      </c>
      <c r="C114" s="9">
        <v>0.73099999999999998</v>
      </c>
      <c r="D114" s="10">
        <v>69.162999999999997</v>
      </c>
      <c r="E114" s="10">
        <v>11.425680160000001</v>
      </c>
      <c r="F114" s="10">
        <v>10.478</v>
      </c>
      <c r="G114" s="7">
        <v>16983.77103</v>
      </c>
    </row>
    <row r="115" spans="1:7" x14ac:dyDescent="0.25">
      <c r="A115" s="7">
        <v>111</v>
      </c>
      <c r="B115" s="8" t="s">
        <v>120</v>
      </c>
      <c r="C115" s="9">
        <v>0.73099999999999998</v>
      </c>
      <c r="D115" s="10">
        <v>67.316000000000003</v>
      </c>
      <c r="E115" s="10">
        <v>13.84869</v>
      </c>
      <c r="F115" s="10">
        <v>10.37096977</v>
      </c>
      <c r="G115" s="7">
        <v>12843.158890000001</v>
      </c>
    </row>
    <row r="116" spans="1:7" x14ac:dyDescent="0.25">
      <c r="A116" s="7">
        <v>113</v>
      </c>
      <c r="B116" s="8" t="s">
        <v>121</v>
      </c>
      <c r="C116" s="9">
        <v>0.72799999999999998</v>
      </c>
      <c r="D116" s="10">
        <v>71.146000000000001</v>
      </c>
      <c r="E116" s="10">
        <v>13.33577728</v>
      </c>
      <c r="F116" s="10">
        <v>8.6972231999999998</v>
      </c>
      <c r="G116" s="7">
        <v>13700.12989</v>
      </c>
    </row>
    <row r="117" spans="1:7" x14ac:dyDescent="0.25">
      <c r="A117" s="7">
        <v>114</v>
      </c>
      <c r="B117" s="8" t="s">
        <v>122</v>
      </c>
      <c r="C117" s="9">
        <v>0.72199999999999998</v>
      </c>
      <c r="D117" s="10">
        <v>73.631</v>
      </c>
      <c r="E117" s="10">
        <v>10.95909977</v>
      </c>
      <c r="F117" s="10">
        <v>8.4297595820000009</v>
      </c>
      <c r="G117" s="7">
        <v>17344.386910000001</v>
      </c>
    </row>
    <row r="118" spans="1:7" x14ac:dyDescent="0.25">
      <c r="A118" s="7">
        <v>115</v>
      </c>
      <c r="B118" s="8" t="s">
        <v>123</v>
      </c>
      <c r="C118" s="9">
        <v>0.72099999999999997</v>
      </c>
      <c r="D118" s="10">
        <v>73.566000000000003</v>
      </c>
      <c r="E118" s="10">
        <v>11.98379993</v>
      </c>
      <c r="F118" s="10">
        <v>8.7622900010000002</v>
      </c>
      <c r="G118" s="7">
        <v>12343.07814</v>
      </c>
    </row>
    <row r="119" spans="1:7" x14ac:dyDescent="0.25">
      <c r="A119" s="7">
        <v>115</v>
      </c>
      <c r="B119" s="8" t="s">
        <v>124</v>
      </c>
      <c r="C119" s="9">
        <v>0.72099999999999997</v>
      </c>
      <c r="D119" s="10">
        <v>69.338999999999999</v>
      </c>
      <c r="E119" s="10">
        <v>12.92465677</v>
      </c>
      <c r="F119" s="10">
        <v>7.77860643</v>
      </c>
      <c r="G119" s="7">
        <v>19831.432359999999</v>
      </c>
    </row>
    <row r="120" spans="1:7" x14ac:dyDescent="0.25">
      <c r="A120" s="7">
        <v>117</v>
      </c>
      <c r="B120" s="8" t="s">
        <v>125</v>
      </c>
      <c r="C120" s="9">
        <v>0.72</v>
      </c>
      <c r="D120" s="10">
        <v>71.478999999999999</v>
      </c>
      <c r="E120" s="10">
        <v>12.383395500000001</v>
      </c>
      <c r="F120" s="10">
        <v>9.9599103929999995</v>
      </c>
      <c r="G120" s="7">
        <v>10056.98531</v>
      </c>
    </row>
    <row r="121" spans="1:7" x14ac:dyDescent="0.25">
      <c r="A121" s="7">
        <v>117</v>
      </c>
      <c r="B121" s="8" t="s">
        <v>126</v>
      </c>
      <c r="C121" s="9">
        <v>0.72</v>
      </c>
      <c r="D121" s="10">
        <v>71.677000000000007</v>
      </c>
      <c r="E121" s="10">
        <v>12.71388245</v>
      </c>
      <c r="F121" s="10">
        <v>12.065888579999999</v>
      </c>
      <c r="G121" s="7">
        <v>6078.1175890000004</v>
      </c>
    </row>
    <row r="122" spans="1:7" x14ac:dyDescent="0.25">
      <c r="A122" s="7">
        <v>117</v>
      </c>
      <c r="B122" s="8" t="s">
        <v>127</v>
      </c>
      <c r="C122" s="9">
        <v>0.72</v>
      </c>
      <c r="D122" s="10">
        <v>69.832999999999998</v>
      </c>
      <c r="E122" s="10">
        <v>12.81904666</v>
      </c>
      <c r="F122" s="10">
        <v>9.9772396089999997</v>
      </c>
      <c r="G122" s="7">
        <v>10731.20422</v>
      </c>
    </row>
    <row r="123" spans="1:7" x14ac:dyDescent="0.25">
      <c r="A123" s="7">
        <v>120</v>
      </c>
      <c r="B123" s="8" t="s">
        <v>128</v>
      </c>
      <c r="C123" s="9">
        <v>0.71</v>
      </c>
      <c r="D123" s="10">
        <v>75.313000000000002</v>
      </c>
      <c r="E123" s="10">
        <v>15.074990270000001</v>
      </c>
      <c r="F123" s="10">
        <v>6.1980000000000004</v>
      </c>
      <c r="G123" s="7">
        <v>8652.8808590000008</v>
      </c>
    </row>
    <row r="124" spans="1:7" x14ac:dyDescent="0.25">
      <c r="A124" s="7">
        <v>121</v>
      </c>
      <c r="B124" s="8" t="s">
        <v>129</v>
      </c>
      <c r="C124" s="9">
        <v>0.70899999999999996</v>
      </c>
      <c r="D124" s="10">
        <v>72.513999999999996</v>
      </c>
      <c r="E124" s="10">
        <v>12.965376539999999</v>
      </c>
      <c r="F124" s="10">
        <v>9.6783853729999993</v>
      </c>
      <c r="G124" s="7">
        <v>7157.08</v>
      </c>
    </row>
    <row r="125" spans="1:7" x14ac:dyDescent="0.25">
      <c r="A125" s="7">
        <v>122</v>
      </c>
      <c r="B125" s="8" t="s">
        <v>130</v>
      </c>
      <c r="C125" s="9">
        <v>0.70799999999999996</v>
      </c>
      <c r="D125" s="10">
        <v>71.697999999999993</v>
      </c>
      <c r="E125" s="10">
        <v>12.436400000000001</v>
      </c>
      <c r="F125" s="10">
        <v>11.332983609999999</v>
      </c>
      <c r="G125" s="7">
        <v>5952.0169249999999</v>
      </c>
    </row>
    <row r="126" spans="1:7" x14ac:dyDescent="0.25">
      <c r="A126" s="7">
        <v>123</v>
      </c>
      <c r="B126" s="8" t="s">
        <v>131</v>
      </c>
      <c r="C126" s="9">
        <v>0.70599999999999996</v>
      </c>
      <c r="D126" s="10">
        <v>74.947000000000003</v>
      </c>
      <c r="E126" s="10">
        <v>11.51021957</v>
      </c>
      <c r="F126" s="10">
        <v>9.9330196379999993</v>
      </c>
      <c r="G126" s="7">
        <v>6881.479609</v>
      </c>
    </row>
    <row r="127" spans="1:7" x14ac:dyDescent="0.25">
      <c r="A127" s="7">
        <v>124</v>
      </c>
      <c r="B127" s="8" t="s">
        <v>132</v>
      </c>
      <c r="C127" s="9">
        <v>0.70299999999999996</v>
      </c>
      <c r="D127" s="10">
        <v>62.109000000000002</v>
      </c>
      <c r="E127" s="10">
        <v>12.84263763</v>
      </c>
      <c r="F127" s="10">
        <v>9.4486376760000006</v>
      </c>
      <c r="G127" s="7">
        <v>19642.377700000001</v>
      </c>
    </row>
    <row r="128" spans="1:7" x14ac:dyDescent="0.25">
      <c r="A128" s="2"/>
      <c r="B128" s="6" t="s">
        <v>133</v>
      </c>
      <c r="C128" s="6"/>
      <c r="D128" s="6"/>
      <c r="E128" s="6"/>
      <c r="F128" s="6"/>
      <c r="G128" s="6"/>
    </row>
    <row r="129" spans="1:7" x14ac:dyDescent="0.25">
      <c r="A129" s="7">
        <v>125</v>
      </c>
      <c r="B129" s="8" t="s">
        <v>134</v>
      </c>
      <c r="C129" s="9">
        <v>0.69799999999999995</v>
      </c>
      <c r="D129" s="10">
        <v>72.974999999999994</v>
      </c>
      <c r="E129" s="10">
        <v>13.152741839999999</v>
      </c>
      <c r="F129" s="10">
        <v>5.8357946619999996</v>
      </c>
      <c r="G129" s="7">
        <v>13842.803529999999</v>
      </c>
    </row>
    <row r="130" spans="1:7" x14ac:dyDescent="0.25">
      <c r="A130" s="7">
        <v>126</v>
      </c>
      <c r="B130" s="8" t="s">
        <v>135</v>
      </c>
      <c r="C130" s="9">
        <v>0.69499999999999995</v>
      </c>
      <c r="D130" s="10">
        <v>64.123000000000005</v>
      </c>
      <c r="E130" s="10">
        <v>15.246043909999999</v>
      </c>
      <c r="F130" s="10">
        <v>8.6851997379999997</v>
      </c>
      <c r="G130" s="7">
        <v>9919.0852300000006</v>
      </c>
    </row>
    <row r="131" spans="1:7" x14ac:dyDescent="0.25">
      <c r="A131" s="7">
        <v>126</v>
      </c>
      <c r="B131" s="8" t="s">
        <v>136</v>
      </c>
      <c r="C131" s="9">
        <v>0.69499999999999995</v>
      </c>
      <c r="D131" s="10">
        <v>72.323999999999998</v>
      </c>
      <c r="E131" s="10">
        <v>12.359401350000001</v>
      </c>
      <c r="F131" s="10">
        <v>6.7800462870000002</v>
      </c>
      <c r="G131" s="7">
        <v>12653.52469</v>
      </c>
    </row>
    <row r="132" spans="1:7" x14ac:dyDescent="0.25">
      <c r="A132" s="7">
        <v>128</v>
      </c>
      <c r="B132" s="8" t="s">
        <v>137</v>
      </c>
      <c r="C132" s="9">
        <v>0.69099999999999995</v>
      </c>
      <c r="D132" s="10">
        <v>71.790000000000006</v>
      </c>
      <c r="E132" s="10">
        <v>10.84980801</v>
      </c>
      <c r="F132" s="10">
        <v>11.27094825</v>
      </c>
      <c r="G132" s="7">
        <v>5746.5689689999999</v>
      </c>
    </row>
    <row r="133" spans="1:7" x14ac:dyDescent="0.25">
      <c r="A133" s="7">
        <v>129</v>
      </c>
      <c r="B133" s="8" t="s">
        <v>138</v>
      </c>
      <c r="C133" s="9">
        <v>0.68899999999999995</v>
      </c>
      <c r="D133" s="10">
        <v>67.105000000000004</v>
      </c>
      <c r="E133" s="10">
        <v>12.37506862</v>
      </c>
      <c r="F133" s="10">
        <v>10.76746107</v>
      </c>
      <c r="G133" s="7">
        <v>7005.5207810000002</v>
      </c>
    </row>
    <row r="134" spans="1:7" x14ac:dyDescent="0.25">
      <c r="A134" s="7">
        <v>130</v>
      </c>
      <c r="B134" s="8" t="s">
        <v>139</v>
      </c>
      <c r="C134" s="9">
        <v>0.68500000000000005</v>
      </c>
      <c r="D134" s="10">
        <v>74.671999999999997</v>
      </c>
      <c r="E134" s="10">
        <v>12.31016827</v>
      </c>
      <c r="F134" s="10">
        <v>6.7899999619999996</v>
      </c>
      <c r="G134" s="7">
        <v>8497.6586389999993</v>
      </c>
    </row>
    <row r="135" spans="1:7" x14ac:dyDescent="0.25">
      <c r="A135" s="7">
        <v>130</v>
      </c>
      <c r="B135" s="8" t="s">
        <v>140</v>
      </c>
      <c r="C135" s="9">
        <v>0.68500000000000005</v>
      </c>
      <c r="D135" s="10">
        <v>72.003</v>
      </c>
      <c r="E135" s="10">
        <v>12.954540250000001</v>
      </c>
      <c r="F135" s="10">
        <v>6.8800001140000004</v>
      </c>
      <c r="G135" s="7">
        <v>9046.7563360000004</v>
      </c>
    </row>
    <row r="136" spans="1:7" x14ac:dyDescent="0.25">
      <c r="A136" s="7">
        <v>132</v>
      </c>
      <c r="B136" s="8" t="s">
        <v>141</v>
      </c>
      <c r="C136" s="9">
        <v>0.67800000000000005</v>
      </c>
      <c r="D136" s="10">
        <v>72.099000000000004</v>
      </c>
      <c r="E136" s="10">
        <v>11.11291027</v>
      </c>
      <c r="F136" s="10">
        <v>7.3000001909999996</v>
      </c>
      <c r="G136" s="7">
        <v>10594.84201</v>
      </c>
    </row>
    <row r="137" spans="1:7" x14ac:dyDescent="0.25">
      <c r="A137" s="7">
        <v>133</v>
      </c>
      <c r="B137" s="8" t="s">
        <v>142</v>
      </c>
      <c r="C137" s="9">
        <v>0.67400000000000004</v>
      </c>
      <c r="D137" s="10">
        <v>63.707000000000001</v>
      </c>
      <c r="E137" s="10">
        <v>12.49119511</v>
      </c>
      <c r="F137" s="10">
        <v>8.2813270140000004</v>
      </c>
      <c r="G137" s="7">
        <v>12762.46845</v>
      </c>
    </row>
    <row r="138" spans="1:7" x14ac:dyDescent="0.25">
      <c r="A138" s="7">
        <v>133</v>
      </c>
      <c r="B138" s="8" t="s">
        <v>143</v>
      </c>
      <c r="C138" s="9">
        <v>0.67400000000000004</v>
      </c>
      <c r="D138" s="10">
        <v>65.17</v>
      </c>
      <c r="E138" s="10">
        <v>12.998009679999999</v>
      </c>
      <c r="F138" s="10">
        <v>10.130000109999999</v>
      </c>
      <c r="G138" s="7">
        <v>6547.0986350000003</v>
      </c>
    </row>
    <row r="139" spans="1:7" x14ac:dyDescent="0.25">
      <c r="A139" s="7">
        <v>135</v>
      </c>
      <c r="B139" s="8" t="s">
        <v>144</v>
      </c>
      <c r="C139" s="9">
        <v>0.66800000000000004</v>
      </c>
      <c r="D139" s="10">
        <v>76.058999999999997</v>
      </c>
      <c r="E139" s="10">
        <v>11.367097169999999</v>
      </c>
      <c r="F139" s="10">
        <v>6.0900390499999997</v>
      </c>
      <c r="G139" s="7">
        <v>8165.3791719999999</v>
      </c>
    </row>
    <row r="140" spans="1:7" x14ac:dyDescent="0.25">
      <c r="A140" s="7">
        <v>136</v>
      </c>
      <c r="B140" s="8" t="s">
        <v>145</v>
      </c>
      <c r="C140" s="9">
        <v>0.66500000000000004</v>
      </c>
      <c r="D140" s="10">
        <v>67.385000000000005</v>
      </c>
      <c r="E140" s="10">
        <v>11.78505588</v>
      </c>
      <c r="F140" s="10">
        <v>7.273146745</v>
      </c>
      <c r="G140" s="7">
        <v>10916.60872</v>
      </c>
    </row>
    <row r="141" spans="1:7" x14ac:dyDescent="0.25">
      <c r="A141" s="7">
        <v>137</v>
      </c>
      <c r="B141" s="8" t="s">
        <v>146</v>
      </c>
      <c r="C141" s="9">
        <v>0.66200000000000003</v>
      </c>
      <c r="D141" s="10">
        <v>72.602000000000004</v>
      </c>
      <c r="E141" s="10">
        <v>10.67763042</v>
      </c>
      <c r="F141" s="10">
        <v>5.8473000529999997</v>
      </c>
      <c r="G141" s="7">
        <v>12458.603999999999</v>
      </c>
    </row>
    <row r="142" spans="1:7" x14ac:dyDescent="0.25">
      <c r="A142" s="7">
        <v>138</v>
      </c>
      <c r="B142" s="8" t="s">
        <v>147</v>
      </c>
      <c r="C142" s="9">
        <v>0.64900000000000002</v>
      </c>
      <c r="D142" s="10">
        <v>65.772000000000006</v>
      </c>
      <c r="E142" s="10">
        <v>12.681947109999999</v>
      </c>
      <c r="F142" s="10">
        <v>8.3226447920000002</v>
      </c>
      <c r="G142" s="7">
        <v>5902.5990659999998</v>
      </c>
    </row>
    <row r="143" spans="1:7" x14ac:dyDescent="0.25">
      <c r="A143" s="7">
        <v>139</v>
      </c>
      <c r="B143" s="8" t="s">
        <v>148</v>
      </c>
      <c r="C143" s="9">
        <v>0.64500000000000002</v>
      </c>
      <c r="D143" s="10">
        <v>72.884</v>
      </c>
      <c r="E143" s="10">
        <v>10.162206469999999</v>
      </c>
      <c r="F143" s="10">
        <v>7.5102290739999997</v>
      </c>
      <c r="G143" s="7">
        <v>6064.7857830000003</v>
      </c>
    </row>
    <row r="144" spans="1:7" x14ac:dyDescent="0.25">
      <c r="A144" s="7">
        <v>140</v>
      </c>
      <c r="B144" s="8" t="s">
        <v>149</v>
      </c>
      <c r="C144" s="9">
        <v>0.64400000000000002</v>
      </c>
      <c r="D144" s="10">
        <v>66.472999999999999</v>
      </c>
      <c r="E144" s="10">
        <v>11.87390648</v>
      </c>
      <c r="F144" s="10">
        <v>9.1285815689999996</v>
      </c>
      <c r="G144" s="7">
        <v>4947.2804260000003</v>
      </c>
    </row>
    <row r="145" spans="1:7" x14ac:dyDescent="0.25">
      <c r="A145" s="7">
        <v>141</v>
      </c>
      <c r="B145" s="8" t="s">
        <v>150</v>
      </c>
      <c r="C145" s="9">
        <v>0.63700000000000001</v>
      </c>
      <c r="D145" s="10">
        <v>69.718000000000004</v>
      </c>
      <c r="E145" s="10">
        <v>12.8567099</v>
      </c>
      <c r="F145" s="10">
        <v>5.9875591750000003</v>
      </c>
      <c r="G145" s="7">
        <v>5583.4233350000004</v>
      </c>
    </row>
    <row r="146" spans="1:7" x14ac:dyDescent="0.25">
      <c r="A146" s="7">
        <v>142</v>
      </c>
      <c r="B146" s="8" t="s">
        <v>151</v>
      </c>
      <c r="C146" s="9">
        <v>0.63400000000000001</v>
      </c>
      <c r="D146" s="10">
        <v>67.688999999999993</v>
      </c>
      <c r="E146" s="10">
        <v>13.25306303</v>
      </c>
      <c r="F146" s="10">
        <v>6.2265805509999996</v>
      </c>
      <c r="G146" s="7">
        <v>5434.5946919999997</v>
      </c>
    </row>
    <row r="147" spans="1:7" x14ac:dyDescent="0.25">
      <c r="A147" s="7">
        <v>143</v>
      </c>
      <c r="B147" s="8" t="s">
        <v>152</v>
      </c>
      <c r="C147" s="9">
        <v>0.628</v>
      </c>
      <c r="D147" s="10">
        <v>65.498000000000005</v>
      </c>
      <c r="E147" s="10">
        <v>11.418459889999999</v>
      </c>
      <c r="F147" s="10">
        <v>7.1072101590000001</v>
      </c>
      <c r="G147" s="7">
        <v>6846.3522039999998</v>
      </c>
    </row>
    <row r="148" spans="1:7" x14ac:dyDescent="0.25">
      <c r="A148" s="7">
        <v>143</v>
      </c>
      <c r="B148" s="8" t="s">
        <v>153</v>
      </c>
      <c r="C148" s="9">
        <v>0.628</v>
      </c>
      <c r="D148" s="10">
        <v>63.646000000000001</v>
      </c>
      <c r="E148" s="10">
        <v>11.474075729999999</v>
      </c>
      <c r="F148" s="10">
        <v>8.6247100830000001</v>
      </c>
      <c r="G148" s="7">
        <v>5608.2960659999999</v>
      </c>
    </row>
    <row r="149" spans="1:7" x14ac:dyDescent="0.25">
      <c r="A149" s="7">
        <v>145</v>
      </c>
      <c r="B149" s="8" t="s">
        <v>154</v>
      </c>
      <c r="C149" s="9">
        <v>0.622</v>
      </c>
      <c r="D149" s="10">
        <v>70.353999999999999</v>
      </c>
      <c r="E149" s="10">
        <v>13.754303930000001</v>
      </c>
      <c r="F149" s="10">
        <v>4.5037298200000002</v>
      </c>
      <c r="G149" s="7">
        <v>4725.9306130000004</v>
      </c>
    </row>
    <row r="150" spans="1:7" x14ac:dyDescent="0.25">
      <c r="A150" s="7">
        <v>146</v>
      </c>
      <c r="B150" s="8" t="s">
        <v>155</v>
      </c>
      <c r="C150" s="9">
        <v>0.621</v>
      </c>
      <c r="D150" s="10">
        <v>71.477000000000004</v>
      </c>
      <c r="E150" s="10">
        <v>11.81160992</v>
      </c>
      <c r="F150" s="10">
        <v>7.1832097270000004</v>
      </c>
      <c r="G150" s="7">
        <v>3403.6901929999999</v>
      </c>
    </row>
    <row r="151" spans="1:7" x14ac:dyDescent="0.25">
      <c r="A151" s="7">
        <v>147</v>
      </c>
      <c r="B151" s="8" t="s">
        <v>156</v>
      </c>
      <c r="C151" s="9">
        <v>0.61699999999999999</v>
      </c>
      <c r="D151" s="10">
        <v>68.963999999999999</v>
      </c>
      <c r="E151" s="10">
        <v>9.6054830550000005</v>
      </c>
      <c r="F151" s="10">
        <v>6.0602461600000002</v>
      </c>
      <c r="G151" s="7">
        <v>8106.1532180000004</v>
      </c>
    </row>
    <row r="152" spans="1:7" x14ac:dyDescent="0.25">
      <c r="A152" s="7">
        <v>148</v>
      </c>
      <c r="B152" s="8" t="s">
        <v>157</v>
      </c>
      <c r="C152" s="9">
        <v>0.61599999999999999</v>
      </c>
      <c r="D152" s="10">
        <v>64.617000000000004</v>
      </c>
      <c r="E152" s="10">
        <v>12.1676</v>
      </c>
      <c r="F152" s="10">
        <v>5.9561730089999996</v>
      </c>
      <c r="G152" s="7">
        <v>6631.2765440000003</v>
      </c>
    </row>
    <row r="153" spans="1:7" x14ac:dyDescent="0.25">
      <c r="A153" s="7">
        <v>149</v>
      </c>
      <c r="B153" s="8" t="s">
        <v>158</v>
      </c>
      <c r="C153" s="9">
        <v>0.61499999999999999</v>
      </c>
      <c r="D153" s="10">
        <v>67.197999999999993</v>
      </c>
      <c r="E153" s="10">
        <v>11.540085120000001</v>
      </c>
      <c r="F153" s="10">
        <v>7.3325239800000004</v>
      </c>
      <c r="G153" s="7">
        <v>4245.8782430000001</v>
      </c>
    </row>
    <row r="154" spans="1:7" x14ac:dyDescent="0.25">
      <c r="A154" s="7">
        <v>150</v>
      </c>
      <c r="B154" s="8" t="s">
        <v>159</v>
      </c>
      <c r="C154" s="9">
        <v>0.60899999999999999</v>
      </c>
      <c r="D154" s="10">
        <v>66.888999999999996</v>
      </c>
      <c r="E154" s="10">
        <v>11.504560469999999</v>
      </c>
      <c r="F154" s="10">
        <v>6.3800001140000004</v>
      </c>
      <c r="G154" s="7">
        <v>4918.8105770000002</v>
      </c>
    </row>
    <row r="155" spans="1:7" x14ac:dyDescent="0.25">
      <c r="A155" s="7">
        <v>151</v>
      </c>
      <c r="B155" s="8" t="s">
        <v>160</v>
      </c>
      <c r="C155" s="9">
        <v>0.60599999999999998</v>
      </c>
      <c r="D155" s="10">
        <v>70.668000000000006</v>
      </c>
      <c r="E155" s="10">
        <v>11.197892189999999</v>
      </c>
      <c r="F155" s="10">
        <v>5.197100163</v>
      </c>
      <c r="G155" s="7">
        <v>4931.016842</v>
      </c>
    </row>
    <row r="156" spans="1:7" x14ac:dyDescent="0.25">
      <c r="A156" s="7">
        <v>152</v>
      </c>
      <c r="B156" s="8" t="s">
        <v>161</v>
      </c>
      <c r="C156" s="9">
        <v>0.60299999999999998</v>
      </c>
      <c r="D156" s="10">
        <v>66.777000000000001</v>
      </c>
      <c r="E156" s="10">
        <v>13.29446063</v>
      </c>
      <c r="F156" s="10">
        <v>6.0068402289999998</v>
      </c>
      <c r="G156" s="7">
        <v>3481.1214399999999</v>
      </c>
    </row>
    <row r="157" spans="1:7" x14ac:dyDescent="0.25">
      <c r="A157" s="7">
        <v>153</v>
      </c>
      <c r="B157" s="8" t="s">
        <v>162</v>
      </c>
      <c r="C157" s="9">
        <v>0.59799999999999998</v>
      </c>
      <c r="D157" s="10">
        <v>62.774999999999999</v>
      </c>
      <c r="E157" s="10">
        <v>11.05745312</v>
      </c>
      <c r="F157" s="10">
        <v>8.9308472160000001</v>
      </c>
      <c r="G157" s="7">
        <v>3511.4632150000002</v>
      </c>
    </row>
    <row r="158" spans="1:7" x14ac:dyDescent="0.25">
      <c r="A158" s="7">
        <v>154</v>
      </c>
      <c r="B158" s="8" t="s">
        <v>163</v>
      </c>
      <c r="C158" s="9">
        <v>0.59499999999999997</v>
      </c>
      <c r="D158" s="10">
        <v>66.349000000000004</v>
      </c>
      <c r="E158" s="10">
        <v>11.02052892</v>
      </c>
      <c r="F158" s="10">
        <v>7.3974085430000001</v>
      </c>
      <c r="G158" s="7">
        <v>3446.6758209999998</v>
      </c>
    </row>
    <row r="159" spans="1:7" x14ac:dyDescent="0.25">
      <c r="A159" s="7">
        <v>155</v>
      </c>
      <c r="B159" s="8" t="s">
        <v>164</v>
      </c>
      <c r="C159" s="9">
        <v>0.58799999999999997</v>
      </c>
      <c r="D159" s="10">
        <v>63.7</v>
      </c>
      <c r="E159" s="10">
        <v>10.79187965</v>
      </c>
      <c r="F159" s="10">
        <v>6.5741804119999996</v>
      </c>
      <c r="G159" s="7">
        <v>4746.2658199999996</v>
      </c>
    </row>
    <row r="160" spans="1:7" x14ac:dyDescent="0.25">
      <c r="A160" s="7">
        <v>156</v>
      </c>
      <c r="B160" s="8" t="s">
        <v>165</v>
      </c>
      <c r="C160" s="9">
        <v>0.58399999999999996</v>
      </c>
      <c r="D160" s="10">
        <v>70.528000000000006</v>
      </c>
      <c r="E160" s="10">
        <v>11.31304207</v>
      </c>
      <c r="F160" s="10">
        <v>5.8796802000000001</v>
      </c>
      <c r="G160" s="7">
        <v>2777.2667489999999</v>
      </c>
    </row>
    <row r="161" spans="1:7" x14ac:dyDescent="0.25">
      <c r="A161" s="7">
        <v>157</v>
      </c>
      <c r="B161" s="8" t="s">
        <v>166</v>
      </c>
      <c r="C161" s="9">
        <v>0.58199999999999996</v>
      </c>
      <c r="D161" s="10">
        <v>61.944000000000003</v>
      </c>
      <c r="E161" s="10">
        <v>11.411129949999999</v>
      </c>
      <c r="F161" s="10">
        <v>4.8699998859999996</v>
      </c>
      <c r="G161" s="7">
        <v>6735.4162649999998</v>
      </c>
    </row>
    <row r="162" spans="1:7" x14ac:dyDescent="0.25">
      <c r="A162" s="7">
        <v>157</v>
      </c>
      <c r="B162" s="8" t="s">
        <v>167</v>
      </c>
      <c r="C162" s="9">
        <v>0.58199999999999996</v>
      </c>
      <c r="D162" s="10">
        <v>68.251999999999995</v>
      </c>
      <c r="E162" s="10">
        <v>11.564048189999999</v>
      </c>
      <c r="F162" s="10">
        <v>6.3236630820000004</v>
      </c>
      <c r="G162" s="7">
        <v>2736.4100210000001</v>
      </c>
    </row>
    <row r="163" spans="1:7" x14ac:dyDescent="0.25">
      <c r="A163" s="7">
        <v>159</v>
      </c>
      <c r="B163" s="8" t="s">
        <v>168</v>
      </c>
      <c r="C163" s="9">
        <v>0.57799999999999996</v>
      </c>
      <c r="D163" s="10">
        <v>67.784999999999997</v>
      </c>
      <c r="E163" s="10">
        <v>12.59045029</v>
      </c>
      <c r="F163" s="10">
        <v>4.8800001140000004</v>
      </c>
      <c r="G163" s="7">
        <v>2970.5594609999998</v>
      </c>
    </row>
    <row r="164" spans="1:7" x14ac:dyDescent="0.25">
      <c r="A164" s="7">
        <v>160</v>
      </c>
      <c r="B164" s="8" t="s">
        <v>169</v>
      </c>
      <c r="C164" s="9">
        <v>0.57599999999999996</v>
      </c>
      <c r="D164" s="10">
        <v>66.134</v>
      </c>
      <c r="E164" s="10">
        <v>11.51107187</v>
      </c>
      <c r="F164" s="10">
        <v>4.9625310779999996</v>
      </c>
      <c r="G164" s="7">
        <v>3970.6477070000001</v>
      </c>
    </row>
    <row r="165" spans="1:7" x14ac:dyDescent="0.25">
      <c r="A165" s="7">
        <v>161</v>
      </c>
      <c r="B165" s="8" t="s">
        <v>170</v>
      </c>
      <c r="C165" s="9">
        <v>0.57099999999999995</v>
      </c>
      <c r="D165" s="10">
        <v>62.738999999999997</v>
      </c>
      <c r="E165" s="10">
        <v>13.096423870000001</v>
      </c>
      <c r="F165" s="10">
        <v>5.8611146190000003</v>
      </c>
      <c r="G165" s="7">
        <v>2855.9638279999999</v>
      </c>
    </row>
    <row r="166" spans="1:7" x14ac:dyDescent="0.25">
      <c r="A166" s="7">
        <v>162</v>
      </c>
      <c r="B166" s="8" t="s">
        <v>171</v>
      </c>
      <c r="C166" s="9">
        <v>0.56399999999999995</v>
      </c>
      <c r="D166" s="10">
        <v>72.12</v>
      </c>
      <c r="E166" s="10">
        <v>7.4187545269999999</v>
      </c>
      <c r="F166" s="10">
        <v>5.9355200620000002</v>
      </c>
      <c r="G166" s="7">
        <v>3917.702385</v>
      </c>
    </row>
    <row r="167" spans="1:7" x14ac:dyDescent="0.25">
      <c r="A167" s="7">
        <v>163</v>
      </c>
      <c r="B167" s="8" t="s">
        <v>172</v>
      </c>
      <c r="C167" s="9">
        <v>0.56299999999999994</v>
      </c>
      <c r="D167" s="10">
        <v>68.483999999999995</v>
      </c>
      <c r="E167" s="10">
        <v>7.949540636</v>
      </c>
      <c r="F167" s="10">
        <v>4.8520258619999996</v>
      </c>
      <c r="G167" s="7">
        <v>6267.470808</v>
      </c>
    </row>
    <row r="168" spans="1:7" x14ac:dyDescent="0.25">
      <c r="A168" s="7">
        <v>164</v>
      </c>
      <c r="B168" s="8" t="s">
        <v>173</v>
      </c>
      <c r="C168" s="9">
        <v>0.56000000000000005</v>
      </c>
      <c r="D168" s="10">
        <v>54.462000000000003</v>
      </c>
      <c r="E168" s="10">
        <v>10.51407</v>
      </c>
      <c r="F168" s="10">
        <v>7.5859699249999997</v>
      </c>
      <c r="G168" s="7">
        <v>5569.3749749999997</v>
      </c>
    </row>
    <row r="169" spans="1:7" x14ac:dyDescent="0.25">
      <c r="A169" s="7">
        <v>165</v>
      </c>
      <c r="B169" s="8" t="s">
        <v>174</v>
      </c>
      <c r="C169" s="9">
        <v>0.55500000000000005</v>
      </c>
      <c r="D169" s="10">
        <v>66.995000000000005</v>
      </c>
      <c r="E169" s="10">
        <v>8.5857400889999997</v>
      </c>
      <c r="F169" s="10">
        <v>6.0653500559999998</v>
      </c>
      <c r="G169" s="7">
        <v>3514.632861</v>
      </c>
    </row>
    <row r="170" spans="1:7" x14ac:dyDescent="0.25">
      <c r="A170" s="7">
        <v>166</v>
      </c>
      <c r="B170" s="8" t="s">
        <v>175</v>
      </c>
      <c r="C170" s="9">
        <v>0.55400000000000005</v>
      </c>
      <c r="D170" s="10">
        <v>64.936000000000007</v>
      </c>
      <c r="E170" s="10">
        <v>10.89635878</v>
      </c>
      <c r="F170" s="10">
        <v>5.3822998999999996</v>
      </c>
      <c r="G170" s="7">
        <v>2934.9258020000002</v>
      </c>
    </row>
    <row r="171" spans="1:7" x14ac:dyDescent="0.25">
      <c r="A171" s="7">
        <v>167</v>
      </c>
      <c r="B171" s="8" t="s">
        <v>176</v>
      </c>
      <c r="C171" s="9">
        <v>0.55000000000000004</v>
      </c>
      <c r="D171" s="10">
        <v>57.375</v>
      </c>
      <c r="E171" s="10">
        <v>10.98659352</v>
      </c>
      <c r="F171" s="10">
        <v>7.7298834860000003</v>
      </c>
      <c r="G171" s="7">
        <v>3029.3856999999998</v>
      </c>
    </row>
    <row r="172" spans="1:7" x14ac:dyDescent="0.25">
      <c r="A172" s="2"/>
      <c r="B172" s="6" t="s">
        <v>177</v>
      </c>
      <c r="C172" s="6"/>
      <c r="D172" s="6"/>
      <c r="E172" s="6"/>
      <c r="F172" s="6"/>
      <c r="G172" s="6"/>
    </row>
    <row r="173" spans="1:7" x14ac:dyDescent="0.25">
      <c r="A173" s="7">
        <v>168</v>
      </c>
      <c r="B173" s="8" t="s">
        <v>178</v>
      </c>
      <c r="C173" s="9">
        <v>0.54400000000000004</v>
      </c>
      <c r="D173" s="10">
        <v>67.649000000000001</v>
      </c>
      <c r="E173" s="10">
        <v>7.8951084900000001</v>
      </c>
      <c r="F173" s="10">
        <v>4.3169870379999997</v>
      </c>
      <c r="G173" s="7">
        <v>5501.1329320000004</v>
      </c>
    </row>
    <row r="174" spans="1:7" x14ac:dyDescent="0.25">
      <c r="A174" s="7">
        <v>169</v>
      </c>
      <c r="B174" s="8" t="s">
        <v>179</v>
      </c>
      <c r="C174" s="9">
        <v>0.53</v>
      </c>
      <c r="D174" s="10">
        <v>68.683000000000007</v>
      </c>
      <c r="E174" s="10">
        <v>9.1427097320000001</v>
      </c>
      <c r="F174" s="10">
        <v>2.934554012</v>
      </c>
      <c r="G174" s="7">
        <v>4202.0307290000001</v>
      </c>
    </row>
    <row r="175" spans="1:7" x14ac:dyDescent="0.25">
      <c r="A175" s="7">
        <v>170</v>
      </c>
      <c r="B175" s="8" t="s">
        <v>180</v>
      </c>
      <c r="C175" s="9">
        <v>0.52400000000000002</v>
      </c>
      <c r="D175" s="10">
        <v>65.86</v>
      </c>
      <c r="E175" s="10">
        <v>8.9778996860000007</v>
      </c>
      <c r="F175" s="10">
        <v>4.6747271540000002</v>
      </c>
      <c r="G175" s="7">
        <v>2812.0176019999999</v>
      </c>
    </row>
    <row r="176" spans="1:7" x14ac:dyDescent="0.25">
      <c r="A176" s="7">
        <v>171</v>
      </c>
      <c r="B176" s="8" t="s">
        <v>181</v>
      </c>
      <c r="C176" s="9">
        <v>0.52200000000000002</v>
      </c>
      <c r="D176" s="10">
        <v>61.895000000000003</v>
      </c>
      <c r="E176" s="10">
        <v>10.911473859999999</v>
      </c>
      <c r="F176" s="10">
        <v>7.3785610860000004</v>
      </c>
      <c r="G176" s="7">
        <v>1431.0479310000001</v>
      </c>
    </row>
    <row r="177" spans="1:7" x14ac:dyDescent="0.25">
      <c r="A177" s="7">
        <v>172</v>
      </c>
      <c r="B177" s="8" t="s">
        <v>182</v>
      </c>
      <c r="C177" s="9">
        <v>0.51700000000000002</v>
      </c>
      <c r="D177" s="10">
        <v>67.352999999999994</v>
      </c>
      <c r="E177" s="10">
        <v>9.9025917050000007</v>
      </c>
      <c r="F177" s="10">
        <v>5.2437400820000004</v>
      </c>
      <c r="G177" s="7">
        <v>1633.6926149999999</v>
      </c>
    </row>
    <row r="178" spans="1:7" x14ac:dyDescent="0.25">
      <c r="A178" s="7">
        <v>173</v>
      </c>
      <c r="B178" s="8" t="s">
        <v>183</v>
      </c>
      <c r="C178" s="9">
        <v>0.51500000000000001</v>
      </c>
      <c r="D178" s="10">
        <v>60.774000000000001</v>
      </c>
      <c r="E178" s="10">
        <v>10.446479800000001</v>
      </c>
      <c r="F178" s="10">
        <v>3.194200039</v>
      </c>
      <c r="G178" s="7">
        <v>3805.5275160000001</v>
      </c>
    </row>
    <row r="179" spans="1:7" x14ac:dyDescent="0.25">
      <c r="A179" s="7">
        <v>174</v>
      </c>
      <c r="B179" s="8" t="s">
        <v>184</v>
      </c>
      <c r="C179" s="9">
        <v>0.51400000000000001</v>
      </c>
      <c r="D179" s="10">
        <v>64.084999999999994</v>
      </c>
      <c r="E179" s="10">
        <v>10.63534621</v>
      </c>
      <c r="F179" s="10">
        <v>3.673035</v>
      </c>
      <c r="G179" s="7">
        <v>2403.0592369999999</v>
      </c>
    </row>
    <row r="180" spans="1:7" x14ac:dyDescent="0.25">
      <c r="A180" s="7">
        <v>175</v>
      </c>
      <c r="B180" s="8" t="s">
        <v>185</v>
      </c>
      <c r="C180" s="9">
        <v>0.51300000000000001</v>
      </c>
      <c r="D180" s="10">
        <v>65.986999999999995</v>
      </c>
      <c r="E180" s="10">
        <v>6.2073500160000004</v>
      </c>
      <c r="F180" s="10">
        <v>3.9504150299999998</v>
      </c>
      <c r="G180" s="7">
        <v>6367.6060260000004</v>
      </c>
    </row>
    <row r="181" spans="1:7" x14ac:dyDescent="0.25">
      <c r="A181" s="7">
        <v>176</v>
      </c>
      <c r="B181" s="8" t="s">
        <v>186</v>
      </c>
      <c r="C181" s="9">
        <v>0.51100000000000001</v>
      </c>
      <c r="D181" s="10">
        <v>66.331000000000003</v>
      </c>
      <c r="E181" s="10">
        <v>8.6203718780000003</v>
      </c>
      <c r="F181" s="10">
        <v>3.9620000000000002</v>
      </c>
      <c r="G181" s="7">
        <v>2810.3120119999999</v>
      </c>
    </row>
    <row r="182" spans="1:7" x14ac:dyDescent="0.25">
      <c r="A182" s="7">
        <v>177</v>
      </c>
      <c r="B182" s="8" t="s">
        <v>187</v>
      </c>
      <c r="C182" s="9">
        <v>0.51</v>
      </c>
      <c r="D182" s="10">
        <v>62.162999999999997</v>
      </c>
      <c r="E182" s="10">
        <v>10.465853689999999</v>
      </c>
      <c r="F182" s="10">
        <v>6.1698919549999998</v>
      </c>
      <c r="G182" s="7">
        <v>1537.8593900000001</v>
      </c>
    </row>
    <row r="183" spans="1:7" x14ac:dyDescent="0.25">
      <c r="A183" s="7">
        <v>178</v>
      </c>
      <c r="B183" s="8" t="s">
        <v>188</v>
      </c>
      <c r="C183" s="9">
        <v>0.503</v>
      </c>
      <c r="D183" s="10">
        <v>68.623999999999995</v>
      </c>
      <c r="E183" s="10">
        <v>7.3366722969999998</v>
      </c>
      <c r="F183" s="10">
        <v>5.0913644199999997</v>
      </c>
      <c r="G183" s="7">
        <v>2029.070062</v>
      </c>
    </row>
    <row r="184" spans="1:7" x14ac:dyDescent="0.25">
      <c r="A184" s="7">
        <v>179</v>
      </c>
      <c r="B184" s="8" t="s">
        <v>189</v>
      </c>
      <c r="C184" s="9">
        <v>0.5</v>
      </c>
      <c r="D184" s="10">
        <v>60.74</v>
      </c>
      <c r="E184" s="10">
        <v>10.393306259999999</v>
      </c>
      <c r="F184" s="10">
        <v>2.4863390249999999</v>
      </c>
      <c r="G184" s="7">
        <v>3494.3477229999999</v>
      </c>
    </row>
    <row r="185" spans="1:7" x14ac:dyDescent="0.25">
      <c r="A185" s="7">
        <v>180</v>
      </c>
      <c r="B185" s="8" t="s">
        <v>190</v>
      </c>
      <c r="C185" s="9">
        <v>0.497</v>
      </c>
      <c r="D185" s="10">
        <v>67.314999999999998</v>
      </c>
      <c r="E185" s="10">
        <v>9.2176515709999993</v>
      </c>
      <c r="F185" s="10">
        <v>2.4025398130000002</v>
      </c>
      <c r="G185" s="7">
        <v>2795.5069840000001</v>
      </c>
    </row>
    <row r="186" spans="1:7" x14ac:dyDescent="0.25">
      <c r="A186" s="7">
        <v>181</v>
      </c>
      <c r="B186" s="8" t="s">
        <v>191</v>
      </c>
      <c r="C186" s="9">
        <v>0.496</v>
      </c>
      <c r="D186" s="10">
        <v>66.034999999999997</v>
      </c>
      <c r="E186" s="10">
        <v>10.790143240000001</v>
      </c>
      <c r="F186" s="10">
        <v>2.514790058</v>
      </c>
      <c r="G186" s="7">
        <v>1971.549458</v>
      </c>
    </row>
    <row r="187" spans="1:7" x14ac:dyDescent="0.25">
      <c r="A187" s="7">
        <v>182</v>
      </c>
      <c r="B187" s="8" t="s">
        <v>192</v>
      </c>
      <c r="C187" s="9">
        <v>0.49299999999999999</v>
      </c>
      <c r="D187" s="10">
        <v>63.610999999999997</v>
      </c>
      <c r="E187" s="10">
        <v>10.84830885</v>
      </c>
      <c r="F187" s="10">
        <v>4.5904898640000003</v>
      </c>
      <c r="G187" s="7">
        <v>1355.7670760000001</v>
      </c>
    </row>
    <row r="188" spans="1:7" x14ac:dyDescent="0.25">
      <c r="A188" s="7">
        <v>183</v>
      </c>
      <c r="B188" s="8" t="s">
        <v>193</v>
      </c>
      <c r="C188" s="9">
        <v>0.48699999999999999</v>
      </c>
      <c r="D188" s="10">
        <v>63.631999999999998</v>
      </c>
      <c r="E188" s="10">
        <v>9.0625845030000001</v>
      </c>
      <c r="F188" s="10">
        <v>4.5925202369999996</v>
      </c>
      <c r="G188" s="7">
        <v>1655.7646830000001</v>
      </c>
    </row>
    <row r="189" spans="1:7" x14ac:dyDescent="0.25">
      <c r="A189" s="7">
        <v>184</v>
      </c>
      <c r="B189" s="8" t="s">
        <v>194</v>
      </c>
      <c r="C189" s="9">
        <v>0.47</v>
      </c>
      <c r="D189" s="10">
        <v>69.295000000000002</v>
      </c>
      <c r="E189" s="10">
        <v>7.4949027350000001</v>
      </c>
      <c r="F189" s="10">
        <v>5.4841499330000003</v>
      </c>
      <c r="G189" s="7">
        <v>1018.2005799999999</v>
      </c>
    </row>
    <row r="190" spans="1:7" x14ac:dyDescent="0.25">
      <c r="A190" s="7">
        <v>185</v>
      </c>
      <c r="B190" s="8" t="s">
        <v>195</v>
      </c>
      <c r="C190" s="9">
        <v>0.46700000000000003</v>
      </c>
      <c r="D190" s="10">
        <v>61.786000000000001</v>
      </c>
      <c r="E190" s="10">
        <v>9.0641245749999992</v>
      </c>
      <c r="F190" s="10">
        <v>3.5352976090000001</v>
      </c>
      <c r="G190" s="7">
        <v>1713.727772</v>
      </c>
    </row>
    <row r="191" spans="1:7" x14ac:dyDescent="0.25">
      <c r="A191" s="7">
        <v>186</v>
      </c>
      <c r="B191" s="8" t="s">
        <v>196</v>
      </c>
      <c r="C191" s="9">
        <v>0.45900000000000002</v>
      </c>
      <c r="D191" s="10">
        <v>61.091999999999999</v>
      </c>
      <c r="E191" s="10">
        <v>8.7333402630000005</v>
      </c>
      <c r="F191" s="10">
        <v>2.266550064</v>
      </c>
      <c r="G191" s="7">
        <v>2390.5277780000001</v>
      </c>
    </row>
    <row r="192" spans="1:7" x14ac:dyDescent="0.25">
      <c r="A192" s="7">
        <v>187</v>
      </c>
      <c r="B192" s="8" t="s">
        <v>197</v>
      </c>
      <c r="C192" s="9">
        <v>0.439</v>
      </c>
      <c r="D192" s="10">
        <v>63.651000000000003</v>
      </c>
      <c r="E192" s="10">
        <v>9.8294238790000001</v>
      </c>
      <c r="F192" s="10">
        <v>3.4739355559999998</v>
      </c>
      <c r="G192" s="7">
        <v>858.91556809999997</v>
      </c>
    </row>
    <row r="193" spans="1:7" x14ac:dyDescent="0.25">
      <c r="A193" s="7">
        <v>188</v>
      </c>
      <c r="B193" s="8" t="s">
        <v>198</v>
      </c>
      <c r="C193" s="9">
        <v>0.41899999999999998</v>
      </c>
      <c r="D193" s="10">
        <v>60.439</v>
      </c>
      <c r="E193" s="10">
        <v>7.0113315329999999</v>
      </c>
      <c r="F193" s="10">
        <v>1.6299999949999999</v>
      </c>
      <c r="G193" s="7">
        <v>2341.5881180000001</v>
      </c>
    </row>
    <row r="194" spans="1:7" x14ac:dyDescent="0.25">
      <c r="A194" s="7">
        <v>188</v>
      </c>
      <c r="B194" s="8" t="s">
        <v>199</v>
      </c>
      <c r="C194" s="9">
        <v>0.41899999999999998</v>
      </c>
      <c r="D194" s="10">
        <v>61.183</v>
      </c>
      <c r="E194" s="10">
        <v>8.308919801</v>
      </c>
      <c r="F194" s="10">
        <v>1.4122893409999999</v>
      </c>
      <c r="G194" s="7">
        <v>1590.18796</v>
      </c>
    </row>
    <row r="195" spans="1:7" x14ac:dyDescent="0.25">
      <c r="A195" s="7">
        <v>190</v>
      </c>
      <c r="B195" s="8" t="s">
        <v>200</v>
      </c>
      <c r="C195" s="9">
        <v>0.41599999999999998</v>
      </c>
      <c r="D195" s="10">
        <v>55.069000000000003</v>
      </c>
      <c r="E195" s="10">
        <v>8.3475902309999999</v>
      </c>
      <c r="F195" s="10">
        <v>2.334984892</v>
      </c>
      <c r="G195" s="7">
        <v>1748.000992</v>
      </c>
    </row>
    <row r="196" spans="1:7" x14ac:dyDescent="0.25">
      <c r="A196" s="7">
        <v>191</v>
      </c>
      <c r="B196" s="8" t="s">
        <v>201</v>
      </c>
      <c r="C196" s="9">
        <v>0.41399999999999998</v>
      </c>
      <c r="D196" s="10">
        <v>57.408000000000001</v>
      </c>
      <c r="E196" s="10">
        <v>7.4357677779999998</v>
      </c>
      <c r="F196" s="10">
        <v>3.989431459</v>
      </c>
      <c r="G196" s="7">
        <v>1099.8606810000001</v>
      </c>
    </row>
    <row r="197" spans="1:7" x14ac:dyDescent="0.25">
      <c r="A197" s="7">
        <v>192</v>
      </c>
      <c r="B197" s="8" t="s">
        <v>202</v>
      </c>
      <c r="C197" s="9">
        <v>0.40400000000000003</v>
      </c>
      <c r="D197" s="10">
        <v>58.816000000000003</v>
      </c>
      <c r="E197" s="10">
        <v>7.4861651619999998</v>
      </c>
      <c r="F197" s="10">
        <v>1.8999999759999999</v>
      </c>
      <c r="G197" s="7">
        <v>1474.7384589999999</v>
      </c>
    </row>
    <row r="198" spans="1:7" x14ac:dyDescent="0.25">
      <c r="A198" s="7">
        <v>193</v>
      </c>
      <c r="B198" s="8" t="s">
        <v>203</v>
      </c>
      <c r="C198" s="9">
        <v>0.38800000000000001</v>
      </c>
      <c r="D198" s="10">
        <v>57.616999999999997</v>
      </c>
      <c r="E198" s="10">
        <v>5.6347701409999997</v>
      </c>
      <c r="F198" s="10">
        <v>5.7300000190000002</v>
      </c>
      <c r="G198" s="7">
        <v>688.34727710000004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53E61F-F5DC-464F-8BFD-3FA71DCF9D96}">
  <sheetPr>
    <tabColor theme="9"/>
  </sheetPr>
  <dimension ref="A1:G176"/>
  <sheetViews>
    <sheetView workbookViewId="0">
      <selection activeCell="B1" sqref="B1:B1048576"/>
    </sheetView>
  </sheetViews>
  <sheetFormatPr defaultRowHeight="15" x14ac:dyDescent="0.25"/>
  <cols>
    <col min="1" max="1" width="24.140625" bestFit="1" customWidth="1"/>
    <col min="2" max="2" width="22.5703125" bestFit="1" customWidth="1"/>
    <col min="3" max="3" width="12.42578125" bestFit="1" customWidth="1"/>
    <col min="4" max="4" width="18.28515625" bestFit="1" customWidth="1"/>
    <col min="5" max="5" width="21.42578125" bestFit="1" customWidth="1"/>
    <col min="6" max="6" width="20.7109375" bestFit="1" customWidth="1"/>
    <col min="7" max="7" width="31.5703125" bestFit="1" customWidth="1"/>
  </cols>
  <sheetData>
    <row r="1" spans="1:7" x14ac:dyDescent="0.25">
      <c r="A1" s="16" t="s">
        <v>1</v>
      </c>
      <c r="B1" s="16" t="s">
        <v>495</v>
      </c>
      <c r="C1" s="16" t="s">
        <v>496</v>
      </c>
      <c r="D1" s="17" t="s">
        <v>497</v>
      </c>
      <c r="E1" s="17" t="s">
        <v>498</v>
      </c>
      <c r="F1" s="17" t="s">
        <v>499</v>
      </c>
      <c r="G1" s="17" t="s">
        <v>500</v>
      </c>
    </row>
    <row r="2" spans="1:7" x14ac:dyDescent="0.25">
      <c r="A2" s="12" t="s">
        <v>191</v>
      </c>
      <c r="B2" s="12" t="s">
        <v>501</v>
      </c>
      <c r="C2" s="12" t="s">
        <v>502</v>
      </c>
      <c r="D2" s="13">
        <v>41482956</v>
      </c>
      <c r="E2" s="13">
        <v>5649841</v>
      </c>
      <c r="F2" s="13">
        <v>1196770</v>
      </c>
      <c r="G2" s="13">
        <v>4278939</v>
      </c>
    </row>
    <row r="3" spans="1:7" x14ac:dyDescent="0.25">
      <c r="A3" s="12" t="s">
        <v>503</v>
      </c>
      <c r="B3" s="12" t="s">
        <v>501</v>
      </c>
      <c r="C3" s="12" t="s">
        <v>502</v>
      </c>
      <c r="D3" s="13">
        <v>3419571959</v>
      </c>
      <c r="E3" s="13">
        <v>349742605</v>
      </c>
      <c r="F3" s="13">
        <v>247474377</v>
      </c>
      <c r="G3" s="13">
        <v>1954659669</v>
      </c>
    </row>
    <row r="4" spans="1:7" x14ac:dyDescent="0.25">
      <c r="A4" s="12" t="s">
        <v>78</v>
      </c>
      <c r="B4" s="12" t="s">
        <v>501</v>
      </c>
      <c r="C4" s="12" t="s">
        <v>502</v>
      </c>
      <c r="D4" s="13">
        <v>10415413</v>
      </c>
      <c r="E4" s="13">
        <v>3684320</v>
      </c>
      <c r="F4" s="13">
        <v>2755775</v>
      </c>
      <c r="G4" s="13">
        <v>11573535</v>
      </c>
    </row>
    <row r="5" spans="1:7" x14ac:dyDescent="0.25">
      <c r="A5" s="12" t="s">
        <v>104</v>
      </c>
      <c r="B5" s="12" t="s">
        <v>501</v>
      </c>
      <c r="C5" s="12" t="s">
        <v>502</v>
      </c>
      <c r="D5" s="13">
        <v>78802690</v>
      </c>
      <c r="E5" s="13">
        <v>21806534</v>
      </c>
      <c r="F5" s="13">
        <v>15521784</v>
      </c>
      <c r="G5" s="13">
        <v>285399770</v>
      </c>
    </row>
    <row r="6" spans="1:7" x14ac:dyDescent="0.25">
      <c r="A6" s="12" t="s">
        <v>157</v>
      </c>
      <c r="B6" s="12" t="s">
        <v>501</v>
      </c>
      <c r="C6" s="12" t="s">
        <v>502</v>
      </c>
      <c r="D6" s="13">
        <v>63574662</v>
      </c>
      <c r="E6" s="13">
        <v>4617271</v>
      </c>
      <c r="F6" s="13">
        <v>3786047</v>
      </c>
      <c r="G6" s="13">
        <v>35784923</v>
      </c>
    </row>
    <row r="7" spans="1:7" x14ac:dyDescent="0.25">
      <c r="A7" s="12" t="s">
        <v>54</v>
      </c>
      <c r="B7" s="12" t="s">
        <v>501</v>
      </c>
      <c r="C7" s="12" t="s">
        <v>502</v>
      </c>
      <c r="D7" s="13">
        <v>453037145</v>
      </c>
      <c r="E7" s="13">
        <v>63888651</v>
      </c>
      <c r="F7" s="13">
        <v>28729674</v>
      </c>
      <c r="G7" s="13">
        <v>201805870</v>
      </c>
    </row>
    <row r="8" spans="1:7" x14ac:dyDescent="0.25">
      <c r="A8" s="12" t="s">
        <v>76</v>
      </c>
      <c r="B8" s="12" t="s">
        <v>501</v>
      </c>
      <c r="C8" s="12" t="s">
        <v>502</v>
      </c>
      <c r="D8" s="13">
        <v>6650617</v>
      </c>
      <c r="E8" s="13">
        <v>5673393</v>
      </c>
      <c r="F8" s="13">
        <v>2436406</v>
      </c>
      <c r="G8" s="13">
        <v>7358440</v>
      </c>
    </row>
    <row r="9" spans="1:7" x14ac:dyDescent="0.25">
      <c r="A9" s="12" t="s">
        <v>504</v>
      </c>
      <c r="B9" s="12" t="s">
        <v>501</v>
      </c>
      <c r="C9" s="12" t="s">
        <v>502</v>
      </c>
      <c r="D9" s="13">
        <v>11525204639</v>
      </c>
      <c r="E9" s="13">
        <v>7359858537</v>
      </c>
      <c r="F9" s="13">
        <v>5708370574</v>
      </c>
      <c r="G9" s="13">
        <v>32696886655</v>
      </c>
    </row>
    <row r="10" spans="1:7" x14ac:dyDescent="0.25">
      <c r="A10" s="12" t="s">
        <v>14</v>
      </c>
      <c r="B10" s="12" t="s">
        <v>501</v>
      </c>
      <c r="C10" s="12" t="s">
        <v>502</v>
      </c>
      <c r="D10" s="13">
        <v>173297993</v>
      </c>
      <c r="E10" s="13">
        <v>202480263</v>
      </c>
      <c r="F10" s="13">
        <v>141707360</v>
      </c>
      <c r="G10" s="13">
        <v>314418810</v>
      </c>
    </row>
    <row r="11" spans="1:7" x14ac:dyDescent="0.25">
      <c r="A11" s="12" t="s">
        <v>29</v>
      </c>
      <c r="B11" s="12" t="s">
        <v>501</v>
      </c>
      <c r="C11" s="12" t="s">
        <v>502</v>
      </c>
      <c r="D11" s="13">
        <v>53122226</v>
      </c>
      <c r="E11" s="13">
        <v>47150734</v>
      </c>
      <c r="F11" s="13">
        <v>24926769</v>
      </c>
      <c r="G11" s="13">
        <v>106332671</v>
      </c>
    </row>
    <row r="12" spans="1:7" x14ac:dyDescent="0.25">
      <c r="A12" s="12" t="s">
        <v>89</v>
      </c>
      <c r="B12" s="12" t="s">
        <v>501</v>
      </c>
      <c r="C12" s="12" t="s">
        <v>502</v>
      </c>
      <c r="D12" s="13">
        <v>28919538</v>
      </c>
      <c r="E12" s="13">
        <v>9293379</v>
      </c>
      <c r="F12" s="13">
        <v>2189365</v>
      </c>
      <c r="G12" s="13">
        <v>31368798</v>
      </c>
    </row>
    <row r="13" spans="1:7" x14ac:dyDescent="0.25">
      <c r="A13" s="12" t="s">
        <v>73</v>
      </c>
      <c r="B13" s="12" t="s">
        <v>501</v>
      </c>
      <c r="C13" s="12" t="s">
        <v>502</v>
      </c>
      <c r="D13" s="13">
        <v>692504</v>
      </c>
      <c r="E13" s="13">
        <v>3203942</v>
      </c>
      <c r="F13" s="13">
        <v>964409</v>
      </c>
      <c r="G13" s="13">
        <v>2029158</v>
      </c>
    </row>
    <row r="14" spans="1:7" x14ac:dyDescent="0.25">
      <c r="A14" s="12" t="s">
        <v>45</v>
      </c>
      <c r="B14" s="12" t="s">
        <v>501</v>
      </c>
      <c r="C14" s="12" t="s">
        <v>502</v>
      </c>
      <c r="D14" s="13">
        <v>6591076</v>
      </c>
      <c r="E14" s="13">
        <v>4913484</v>
      </c>
      <c r="F14" s="13">
        <v>8380941</v>
      </c>
      <c r="G14" s="13">
        <v>16637061</v>
      </c>
    </row>
    <row r="15" spans="1:7" x14ac:dyDescent="0.25">
      <c r="A15" s="12" t="s">
        <v>139</v>
      </c>
      <c r="B15" s="12" t="s">
        <v>501</v>
      </c>
      <c r="C15" s="12" t="s">
        <v>502</v>
      </c>
      <c r="D15" s="13">
        <v>302650477</v>
      </c>
      <c r="E15" s="13">
        <v>63279382</v>
      </c>
      <c r="F15" s="13">
        <v>31208748</v>
      </c>
      <c r="G15" s="13">
        <v>353767802</v>
      </c>
    </row>
    <row r="16" spans="1:7" x14ac:dyDescent="0.25">
      <c r="A16" s="12" t="s">
        <v>72</v>
      </c>
      <c r="B16" s="12" t="s">
        <v>501</v>
      </c>
      <c r="C16" s="12" t="s">
        <v>502</v>
      </c>
      <c r="D16" s="13">
        <v>53541013</v>
      </c>
      <c r="E16" s="13">
        <v>9161328</v>
      </c>
      <c r="F16" s="13">
        <v>3439821</v>
      </c>
      <c r="G16" s="13">
        <v>30703227</v>
      </c>
    </row>
    <row r="17" spans="1:7" x14ac:dyDescent="0.25">
      <c r="A17" s="12" t="s">
        <v>17</v>
      </c>
      <c r="B17" s="12" t="s">
        <v>501</v>
      </c>
      <c r="C17" s="12" t="s">
        <v>502</v>
      </c>
      <c r="D17" s="13">
        <v>60057990</v>
      </c>
      <c r="E17" s="13">
        <v>68220479</v>
      </c>
      <c r="F17" s="13">
        <v>71676640</v>
      </c>
      <c r="G17" s="13">
        <v>333762930</v>
      </c>
    </row>
    <row r="18" spans="1:7" x14ac:dyDescent="0.25">
      <c r="A18" s="12" t="s">
        <v>123</v>
      </c>
      <c r="B18" s="12" t="s">
        <v>501</v>
      </c>
      <c r="C18" s="12" t="s">
        <v>502</v>
      </c>
      <c r="D18" s="13">
        <v>1775885</v>
      </c>
      <c r="E18" s="13">
        <v>569566</v>
      </c>
      <c r="F18" s="13">
        <v>491576</v>
      </c>
      <c r="G18" s="13">
        <v>1658697</v>
      </c>
    </row>
    <row r="19" spans="1:7" x14ac:dyDescent="0.25">
      <c r="A19" s="12" t="s">
        <v>183</v>
      </c>
      <c r="B19" s="12" t="s">
        <v>501</v>
      </c>
      <c r="C19" s="12" t="s">
        <v>502</v>
      </c>
      <c r="D19" s="13">
        <v>29960364</v>
      </c>
      <c r="E19" s="13">
        <v>1432520</v>
      </c>
      <c r="F19" s="13">
        <v>1036197</v>
      </c>
      <c r="G19" s="13">
        <v>15905303</v>
      </c>
    </row>
    <row r="20" spans="1:7" x14ac:dyDescent="0.25">
      <c r="A20" s="12" t="s">
        <v>134</v>
      </c>
      <c r="B20" s="12" t="s">
        <v>501</v>
      </c>
      <c r="C20" s="12" t="s">
        <v>502</v>
      </c>
      <c r="D20" s="13">
        <v>3712425</v>
      </c>
      <c r="E20" s="13">
        <v>833760</v>
      </c>
      <c r="F20" s="13">
        <v>307743</v>
      </c>
      <c r="G20" s="13">
        <v>14578357</v>
      </c>
    </row>
    <row r="21" spans="1:7" x14ac:dyDescent="0.25">
      <c r="A21" s="12" t="s">
        <v>243</v>
      </c>
      <c r="B21" s="12" t="s">
        <v>501</v>
      </c>
      <c r="C21" s="12" t="s">
        <v>502</v>
      </c>
      <c r="D21" s="13">
        <v>94662706</v>
      </c>
      <c r="E21" s="13">
        <v>5092667</v>
      </c>
      <c r="F21" s="13">
        <v>3426064</v>
      </c>
      <c r="G21" s="13">
        <v>46530894</v>
      </c>
    </row>
    <row r="22" spans="1:7" x14ac:dyDescent="0.25">
      <c r="A22" s="12" t="s">
        <v>81</v>
      </c>
      <c r="B22" s="12" t="s">
        <v>501</v>
      </c>
      <c r="C22" s="12" t="s">
        <v>502</v>
      </c>
      <c r="D22" s="13">
        <v>10829123</v>
      </c>
      <c r="E22" s="13">
        <v>16206386</v>
      </c>
      <c r="F22" s="13">
        <v>1433224</v>
      </c>
      <c r="G22" s="13">
        <v>21994441</v>
      </c>
    </row>
    <row r="23" spans="1:7" x14ac:dyDescent="0.25">
      <c r="A23" s="12" t="s">
        <v>119</v>
      </c>
      <c r="B23" s="12" t="s">
        <v>501</v>
      </c>
      <c r="C23" s="12" t="s">
        <v>502</v>
      </c>
      <c r="D23" s="13">
        <v>5684663</v>
      </c>
      <c r="E23" s="13">
        <v>2330195</v>
      </c>
      <c r="F23" s="13">
        <v>1940605</v>
      </c>
      <c r="G23" s="13">
        <v>4176312</v>
      </c>
    </row>
    <row r="24" spans="1:7" x14ac:dyDescent="0.25">
      <c r="A24" s="12" t="s">
        <v>92</v>
      </c>
      <c r="B24" s="12" t="s">
        <v>501</v>
      </c>
      <c r="C24" s="12" t="s">
        <v>502</v>
      </c>
      <c r="D24" s="13">
        <v>2311713667</v>
      </c>
      <c r="E24" s="13">
        <v>243540848</v>
      </c>
      <c r="F24" s="13">
        <v>153773011</v>
      </c>
      <c r="G24" s="13">
        <v>879533024</v>
      </c>
    </row>
    <row r="25" spans="1:7" x14ac:dyDescent="0.25">
      <c r="A25" s="12" t="s">
        <v>67</v>
      </c>
      <c r="B25" s="12" t="s">
        <v>501</v>
      </c>
      <c r="C25" s="12" t="s">
        <v>502</v>
      </c>
      <c r="D25" s="13">
        <v>2771751</v>
      </c>
      <c r="E25" s="13">
        <v>1993022</v>
      </c>
      <c r="F25" s="13">
        <v>1007181</v>
      </c>
      <c r="G25" s="13">
        <v>3474617</v>
      </c>
    </row>
    <row r="26" spans="1:7" x14ac:dyDescent="0.25">
      <c r="A26" s="12" t="s">
        <v>62</v>
      </c>
      <c r="B26" s="12" t="s">
        <v>501</v>
      </c>
      <c r="C26" s="12" t="s">
        <v>502</v>
      </c>
      <c r="D26" s="13">
        <v>23039091</v>
      </c>
      <c r="E26" s="13">
        <v>42248376</v>
      </c>
      <c r="F26" s="13">
        <v>8901914</v>
      </c>
      <c r="G26" s="13">
        <v>33871998</v>
      </c>
    </row>
    <row r="27" spans="1:7" x14ac:dyDescent="0.25">
      <c r="A27" s="12" t="s">
        <v>196</v>
      </c>
      <c r="B27" s="12" t="s">
        <v>501</v>
      </c>
      <c r="C27" s="12" t="s">
        <v>502</v>
      </c>
      <c r="D27" s="13">
        <v>32681424</v>
      </c>
      <c r="E27" s="13">
        <v>1762211</v>
      </c>
      <c r="F27" s="13">
        <v>955071</v>
      </c>
      <c r="G27" s="13">
        <v>11419857</v>
      </c>
    </row>
    <row r="28" spans="1:7" x14ac:dyDescent="0.25">
      <c r="A28" s="12" t="s">
        <v>197</v>
      </c>
      <c r="B28" s="12" t="s">
        <v>501</v>
      </c>
      <c r="C28" s="12" t="s">
        <v>502</v>
      </c>
      <c r="D28" s="13">
        <v>15966860</v>
      </c>
      <c r="E28" s="13">
        <v>280932</v>
      </c>
      <c r="F28" s="13">
        <v>193527</v>
      </c>
      <c r="G28" s="13">
        <v>4680312</v>
      </c>
    </row>
    <row r="29" spans="1:7" x14ac:dyDescent="0.25">
      <c r="A29" s="12" t="s">
        <v>160</v>
      </c>
      <c r="B29" s="12" t="s">
        <v>501</v>
      </c>
      <c r="C29" s="12" t="s">
        <v>502</v>
      </c>
      <c r="D29" s="13">
        <v>52460100</v>
      </c>
      <c r="E29" s="13">
        <v>5956052</v>
      </c>
      <c r="F29" s="13">
        <v>4904061</v>
      </c>
      <c r="G29" s="13">
        <v>84617516</v>
      </c>
    </row>
    <row r="30" spans="1:7" x14ac:dyDescent="0.25">
      <c r="A30" s="12" t="s">
        <v>164</v>
      </c>
      <c r="B30" s="12" t="s">
        <v>501</v>
      </c>
      <c r="C30" s="12" t="s">
        <v>502</v>
      </c>
      <c r="D30" s="13">
        <v>64062704</v>
      </c>
      <c r="E30" s="13">
        <v>5176072</v>
      </c>
      <c r="F30" s="13">
        <v>2180808</v>
      </c>
      <c r="G30" s="13">
        <v>43376572</v>
      </c>
    </row>
    <row r="31" spans="1:7" x14ac:dyDescent="0.25">
      <c r="A31" s="12" t="s">
        <v>23</v>
      </c>
      <c r="B31" s="12" t="s">
        <v>501</v>
      </c>
      <c r="C31" s="12" t="s">
        <v>502</v>
      </c>
      <c r="D31" s="13">
        <v>251634159</v>
      </c>
      <c r="E31" s="13">
        <v>725065559</v>
      </c>
      <c r="F31" s="13">
        <v>167203491</v>
      </c>
      <c r="G31" s="13">
        <v>418209273</v>
      </c>
    </row>
    <row r="32" spans="1:7" x14ac:dyDescent="0.25">
      <c r="A32" s="12" t="s">
        <v>201</v>
      </c>
      <c r="B32" s="12" t="s">
        <v>501</v>
      </c>
      <c r="C32" s="12" t="s">
        <v>502</v>
      </c>
      <c r="D32" s="13">
        <v>15559171</v>
      </c>
      <c r="E32" s="13">
        <v>246368</v>
      </c>
      <c r="F32" s="13">
        <v>189618</v>
      </c>
      <c r="G32" s="13">
        <v>781503</v>
      </c>
    </row>
    <row r="33" spans="1:7" x14ac:dyDescent="0.25">
      <c r="A33" s="12" t="s">
        <v>200</v>
      </c>
      <c r="B33" s="12" t="s">
        <v>501</v>
      </c>
      <c r="C33" s="12" t="s">
        <v>502</v>
      </c>
      <c r="D33" s="13">
        <v>134917992</v>
      </c>
      <c r="E33" s="13">
        <v>810181</v>
      </c>
      <c r="F33" s="13">
        <v>761751</v>
      </c>
      <c r="G33" s="13">
        <v>11393911</v>
      </c>
    </row>
    <row r="34" spans="1:7" x14ac:dyDescent="0.25">
      <c r="A34" s="12" t="s">
        <v>52</v>
      </c>
      <c r="B34" s="12" t="s">
        <v>501</v>
      </c>
      <c r="C34" s="12" t="s">
        <v>502</v>
      </c>
      <c r="D34" s="13">
        <v>94064179</v>
      </c>
      <c r="E34" s="13">
        <v>47655071</v>
      </c>
      <c r="F34" s="13">
        <v>67901515</v>
      </c>
      <c r="G34" s="13">
        <v>77818775</v>
      </c>
    </row>
    <row r="35" spans="1:7" x14ac:dyDescent="0.25">
      <c r="A35" s="12" t="s">
        <v>86</v>
      </c>
      <c r="B35" s="12" t="s">
        <v>501</v>
      </c>
      <c r="C35" s="12" t="s">
        <v>502</v>
      </c>
      <c r="D35" s="13">
        <v>4429753531</v>
      </c>
      <c r="E35" s="13">
        <v>4303095575</v>
      </c>
      <c r="F35" s="13">
        <v>3639367412</v>
      </c>
      <c r="G35" s="13">
        <v>23135787338</v>
      </c>
    </row>
    <row r="36" spans="1:7" x14ac:dyDescent="0.25">
      <c r="A36" s="12" t="s">
        <v>91</v>
      </c>
      <c r="B36" s="12" t="s">
        <v>501</v>
      </c>
      <c r="C36" s="12" t="s">
        <v>502</v>
      </c>
      <c r="D36" s="13">
        <v>225031434</v>
      </c>
      <c r="E36" s="13">
        <v>41393951</v>
      </c>
      <c r="F36" s="13">
        <v>21791818</v>
      </c>
      <c r="G36" s="13">
        <v>157389217</v>
      </c>
    </row>
    <row r="37" spans="1:7" x14ac:dyDescent="0.25">
      <c r="A37" s="12" t="s">
        <v>69</v>
      </c>
      <c r="B37" s="12" t="s">
        <v>501</v>
      </c>
      <c r="C37" s="12" t="s">
        <v>502</v>
      </c>
      <c r="D37" s="13">
        <v>17708127</v>
      </c>
      <c r="E37" s="13">
        <v>6276272</v>
      </c>
      <c r="F37" s="13">
        <v>4056715</v>
      </c>
      <c r="G37" s="13">
        <v>29226961</v>
      </c>
    </row>
    <row r="38" spans="1:7" x14ac:dyDescent="0.25">
      <c r="A38" s="12" t="s">
        <v>505</v>
      </c>
      <c r="B38" s="12" t="s">
        <v>501</v>
      </c>
      <c r="C38" s="12" t="s">
        <v>502</v>
      </c>
      <c r="D38" s="13">
        <v>121168051</v>
      </c>
      <c r="E38" s="13">
        <v>17471758</v>
      </c>
      <c r="F38" s="13">
        <v>24566068</v>
      </c>
      <c r="G38" s="13">
        <v>226901769</v>
      </c>
    </row>
    <row r="39" spans="1:7" x14ac:dyDescent="0.25">
      <c r="A39" s="12" t="s">
        <v>48</v>
      </c>
      <c r="B39" s="12" t="s">
        <v>501</v>
      </c>
      <c r="C39" s="12" t="s">
        <v>502</v>
      </c>
      <c r="D39" s="13">
        <v>15531880</v>
      </c>
      <c r="E39" s="13">
        <v>11562608</v>
      </c>
      <c r="F39" s="13">
        <v>3936177</v>
      </c>
      <c r="G39" s="13">
        <v>31031172</v>
      </c>
    </row>
    <row r="40" spans="1:7" x14ac:dyDescent="0.25">
      <c r="A40" s="12" t="s">
        <v>105</v>
      </c>
      <c r="B40" s="12" t="s">
        <v>501</v>
      </c>
      <c r="C40" s="12" t="s">
        <v>502</v>
      </c>
      <c r="D40" s="13">
        <v>38428568</v>
      </c>
      <c r="E40" s="13">
        <v>4741379</v>
      </c>
      <c r="F40" s="13">
        <v>3871180</v>
      </c>
      <c r="G40" s="13">
        <v>29449506</v>
      </c>
    </row>
    <row r="41" spans="1:7" x14ac:dyDescent="0.25">
      <c r="A41" s="12" t="s">
        <v>40</v>
      </c>
      <c r="B41" s="12" t="s">
        <v>501</v>
      </c>
      <c r="C41" s="12" t="s">
        <v>502</v>
      </c>
      <c r="D41" s="13">
        <v>5281297</v>
      </c>
      <c r="E41" s="13">
        <v>2995100</v>
      </c>
      <c r="F41" s="13">
        <v>1514673</v>
      </c>
      <c r="G41" s="13">
        <v>21394873</v>
      </c>
    </row>
    <row r="42" spans="1:7" x14ac:dyDescent="0.25">
      <c r="A42" s="12" t="s">
        <v>506</v>
      </c>
      <c r="B42" s="12" t="s">
        <v>501</v>
      </c>
      <c r="C42" s="12" t="s">
        <v>502</v>
      </c>
      <c r="D42" s="13"/>
      <c r="E42" s="13"/>
      <c r="F42" s="13"/>
      <c r="G42" s="13"/>
    </row>
    <row r="43" spans="1:7" x14ac:dyDescent="0.25">
      <c r="A43" s="12" t="s">
        <v>280</v>
      </c>
      <c r="B43" s="12" t="s">
        <v>501</v>
      </c>
      <c r="C43" s="12" t="s">
        <v>502</v>
      </c>
      <c r="D43" s="13">
        <v>46863458</v>
      </c>
      <c r="E43" s="13">
        <v>61673128</v>
      </c>
      <c r="F43" s="13">
        <v>17687835</v>
      </c>
      <c r="G43" s="13">
        <v>85615232</v>
      </c>
    </row>
    <row r="44" spans="1:7" x14ac:dyDescent="0.25">
      <c r="A44" s="12" t="s">
        <v>11</v>
      </c>
      <c r="B44" s="12" t="s">
        <v>501</v>
      </c>
      <c r="C44" s="12" t="s">
        <v>502</v>
      </c>
      <c r="D44" s="13">
        <v>35867329</v>
      </c>
      <c r="E44" s="13">
        <v>26095987</v>
      </c>
      <c r="F44" s="13">
        <v>13660423</v>
      </c>
      <c r="G44" s="13">
        <v>80394099</v>
      </c>
    </row>
    <row r="45" spans="1:7" x14ac:dyDescent="0.25">
      <c r="A45" s="12" t="s">
        <v>185</v>
      </c>
      <c r="B45" s="12" t="s">
        <v>501</v>
      </c>
      <c r="C45" s="12" t="s">
        <v>502</v>
      </c>
      <c r="D45" s="13">
        <v>5149143</v>
      </c>
      <c r="E45" s="13">
        <v>1704744</v>
      </c>
      <c r="F45" s="13">
        <v>763886</v>
      </c>
      <c r="G45" s="13">
        <v>4913783</v>
      </c>
    </row>
    <row r="46" spans="1:7" x14ac:dyDescent="0.25">
      <c r="A46" s="12" t="s">
        <v>97</v>
      </c>
      <c r="B46" s="12" t="s">
        <v>501</v>
      </c>
      <c r="C46" s="12" t="s">
        <v>502</v>
      </c>
      <c r="D46" s="13">
        <v>34321977</v>
      </c>
      <c r="E46" s="13">
        <v>11695828</v>
      </c>
      <c r="F46" s="13">
        <v>4875010</v>
      </c>
      <c r="G46" s="13">
        <v>43299957</v>
      </c>
    </row>
    <row r="47" spans="1:7" x14ac:dyDescent="0.25">
      <c r="A47" s="12" t="s">
        <v>507</v>
      </c>
      <c r="B47" s="12" t="s">
        <v>501</v>
      </c>
      <c r="C47" s="12" t="s">
        <v>502</v>
      </c>
      <c r="D47" s="13">
        <v>115142218</v>
      </c>
      <c r="E47" s="13">
        <v>6315550</v>
      </c>
      <c r="F47" s="13">
        <v>8344836</v>
      </c>
      <c r="G47" s="13">
        <v>55320327</v>
      </c>
    </row>
    <row r="48" spans="1:7" x14ac:dyDescent="0.25">
      <c r="A48" s="12" t="s">
        <v>96</v>
      </c>
      <c r="B48" s="12" t="s">
        <v>501</v>
      </c>
      <c r="C48" s="12" t="s">
        <v>502</v>
      </c>
      <c r="D48" s="13">
        <v>54494460</v>
      </c>
      <c r="E48" s="13">
        <v>13990876</v>
      </c>
      <c r="F48" s="13">
        <v>7079821</v>
      </c>
      <c r="G48" s="13">
        <v>50457979</v>
      </c>
    </row>
    <row r="49" spans="1:7" x14ac:dyDescent="0.25">
      <c r="A49" s="12" t="s">
        <v>508</v>
      </c>
      <c r="B49" s="12" t="s">
        <v>501</v>
      </c>
      <c r="C49" s="12" t="s">
        <v>502</v>
      </c>
      <c r="D49" s="13">
        <v>1163251655</v>
      </c>
      <c r="E49" s="13">
        <v>486549563</v>
      </c>
      <c r="F49" s="13">
        <v>307755646</v>
      </c>
      <c r="G49" s="13">
        <v>1009089718</v>
      </c>
    </row>
    <row r="50" spans="1:7" x14ac:dyDescent="0.25">
      <c r="A50" s="12" t="s">
        <v>108</v>
      </c>
      <c r="B50" s="12" t="s">
        <v>501</v>
      </c>
      <c r="C50" s="12" t="s">
        <v>502</v>
      </c>
      <c r="D50" s="13">
        <v>234725624</v>
      </c>
      <c r="E50" s="13">
        <v>74560602</v>
      </c>
      <c r="F50" s="13">
        <v>23085294</v>
      </c>
      <c r="G50" s="13">
        <v>110947465</v>
      </c>
    </row>
    <row r="51" spans="1:7" x14ac:dyDescent="0.25">
      <c r="A51" s="12" t="s">
        <v>141</v>
      </c>
      <c r="B51" s="12" t="s">
        <v>501</v>
      </c>
      <c r="C51" s="12" t="s">
        <v>502</v>
      </c>
      <c r="D51" s="13">
        <v>30569221</v>
      </c>
      <c r="E51" s="13">
        <v>6114172</v>
      </c>
      <c r="F51" s="13">
        <v>2920698</v>
      </c>
      <c r="G51" s="13">
        <v>18454638</v>
      </c>
    </row>
    <row r="52" spans="1:7" x14ac:dyDescent="0.25">
      <c r="A52" s="12" t="s">
        <v>142</v>
      </c>
      <c r="B52" s="12" t="s">
        <v>501</v>
      </c>
      <c r="C52" s="12" t="s">
        <v>502</v>
      </c>
      <c r="D52" s="13">
        <v>2040195</v>
      </c>
      <c r="E52" s="13">
        <v>795177</v>
      </c>
      <c r="F52" s="13">
        <v>594538</v>
      </c>
      <c r="G52" s="13">
        <v>3258683</v>
      </c>
    </row>
    <row r="53" spans="1:7" x14ac:dyDescent="0.25">
      <c r="A53" s="12" t="s">
        <v>188</v>
      </c>
      <c r="B53" s="12" t="s">
        <v>501</v>
      </c>
      <c r="C53" s="12" t="s">
        <v>502</v>
      </c>
      <c r="D53" s="13">
        <v>4184170</v>
      </c>
      <c r="E53" s="13">
        <v>209389</v>
      </c>
      <c r="F53" s="13">
        <v>312746</v>
      </c>
      <c r="G53" s="13">
        <v>4135529</v>
      </c>
    </row>
    <row r="54" spans="1:7" x14ac:dyDescent="0.25">
      <c r="A54" s="12" t="s">
        <v>43</v>
      </c>
      <c r="B54" s="12" t="s">
        <v>501</v>
      </c>
      <c r="C54" s="12" t="s">
        <v>502</v>
      </c>
      <c r="D54" s="13">
        <v>7300537</v>
      </c>
      <c r="E54" s="13">
        <v>7430834</v>
      </c>
      <c r="F54" s="13">
        <v>2456930</v>
      </c>
      <c r="G54" s="13">
        <v>21330352</v>
      </c>
    </row>
    <row r="55" spans="1:7" x14ac:dyDescent="0.25">
      <c r="A55" s="12" t="s">
        <v>190</v>
      </c>
      <c r="B55" s="12" t="s">
        <v>501</v>
      </c>
      <c r="C55" s="12" t="s">
        <v>502</v>
      </c>
      <c r="D55" s="13">
        <v>356261892</v>
      </c>
      <c r="E55" s="13">
        <v>8524173</v>
      </c>
      <c r="F55" s="13">
        <v>9849165</v>
      </c>
      <c r="G55" s="13">
        <v>63095396</v>
      </c>
    </row>
    <row r="56" spans="1:7" x14ac:dyDescent="0.25">
      <c r="A56" s="12" t="s">
        <v>509</v>
      </c>
      <c r="B56" s="12" t="s">
        <v>501</v>
      </c>
      <c r="C56" s="12" t="s">
        <v>502</v>
      </c>
      <c r="D56" s="13">
        <v>0</v>
      </c>
      <c r="E56" s="13">
        <v>0</v>
      </c>
      <c r="F56" s="13">
        <v>0</v>
      </c>
      <c r="G56" s="13">
        <v>0</v>
      </c>
    </row>
    <row r="57" spans="1:7" x14ac:dyDescent="0.25">
      <c r="A57" s="12" t="s">
        <v>510</v>
      </c>
      <c r="B57" s="12" t="s">
        <v>501</v>
      </c>
      <c r="C57" s="12" t="s">
        <v>502</v>
      </c>
      <c r="D57" s="13">
        <v>2921715586</v>
      </c>
      <c r="E57" s="13">
        <v>2661597805</v>
      </c>
      <c r="F57" s="13">
        <v>1175038229</v>
      </c>
      <c r="G57" s="13">
        <v>6346039698</v>
      </c>
    </row>
    <row r="58" spans="1:7" x14ac:dyDescent="0.25">
      <c r="A58" s="12" t="s">
        <v>19</v>
      </c>
      <c r="B58" s="12" t="s">
        <v>501</v>
      </c>
      <c r="C58" s="12" t="s">
        <v>502</v>
      </c>
      <c r="D58" s="13">
        <v>34946431</v>
      </c>
      <c r="E58" s="13">
        <v>31412129</v>
      </c>
      <c r="F58" s="13">
        <v>17333593</v>
      </c>
      <c r="G58" s="13">
        <v>90268473</v>
      </c>
    </row>
    <row r="59" spans="1:7" x14ac:dyDescent="0.25">
      <c r="A59" s="12" t="s">
        <v>33</v>
      </c>
      <c r="B59" s="12" t="s">
        <v>501</v>
      </c>
      <c r="C59" s="12" t="s">
        <v>502</v>
      </c>
      <c r="D59" s="13">
        <v>333612712</v>
      </c>
      <c r="E59" s="13">
        <v>210463386</v>
      </c>
      <c r="F59" s="13">
        <v>103931230</v>
      </c>
      <c r="G59" s="13">
        <v>499866735</v>
      </c>
    </row>
    <row r="60" spans="1:7" x14ac:dyDescent="0.25">
      <c r="A60" s="12" t="s">
        <v>117</v>
      </c>
      <c r="B60" s="12" t="s">
        <v>501</v>
      </c>
      <c r="C60" s="12" t="s">
        <v>502</v>
      </c>
      <c r="D60" s="13">
        <v>4238909</v>
      </c>
      <c r="E60" s="13">
        <v>1139422</v>
      </c>
      <c r="F60" s="13">
        <v>733358</v>
      </c>
      <c r="G60" s="13">
        <v>4704218</v>
      </c>
    </row>
    <row r="61" spans="1:7" x14ac:dyDescent="0.25">
      <c r="A61" s="12" t="s">
        <v>180</v>
      </c>
      <c r="B61" s="12" t="s">
        <v>501</v>
      </c>
      <c r="C61" s="12" t="s">
        <v>502</v>
      </c>
      <c r="D61" s="13">
        <v>2809579</v>
      </c>
      <c r="E61" s="13">
        <v>415388</v>
      </c>
      <c r="F61" s="13">
        <v>604773</v>
      </c>
      <c r="G61" s="13">
        <v>4576510</v>
      </c>
    </row>
    <row r="62" spans="1:7" x14ac:dyDescent="0.25">
      <c r="A62" s="12" t="s">
        <v>64</v>
      </c>
      <c r="B62" s="12" t="s">
        <v>501</v>
      </c>
      <c r="C62" s="12" t="s">
        <v>502</v>
      </c>
      <c r="D62" s="13">
        <v>11575381</v>
      </c>
      <c r="E62" s="13">
        <v>3211333</v>
      </c>
      <c r="F62" s="13">
        <v>3738342</v>
      </c>
      <c r="G62" s="13">
        <v>24894262</v>
      </c>
    </row>
    <row r="63" spans="1:7" x14ac:dyDescent="0.25">
      <c r="A63" s="12" t="s">
        <v>12</v>
      </c>
      <c r="B63" s="12" t="s">
        <v>501</v>
      </c>
      <c r="C63" s="12" t="s">
        <v>502</v>
      </c>
      <c r="D63" s="13">
        <v>414705770</v>
      </c>
      <c r="E63" s="13">
        <v>541042768</v>
      </c>
      <c r="F63" s="13">
        <v>204311700</v>
      </c>
      <c r="G63" s="13">
        <v>866584404</v>
      </c>
    </row>
    <row r="64" spans="1:7" x14ac:dyDescent="0.25">
      <c r="A64" s="12" t="s">
        <v>152</v>
      </c>
      <c r="B64" s="12" t="s">
        <v>501</v>
      </c>
      <c r="C64" s="12" t="s">
        <v>502</v>
      </c>
      <c r="D64" s="13">
        <v>110295963</v>
      </c>
      <c r="E64" s="13">
        <v>9107848</v>
      </c>
      <c r="F64" s="13">
        <v>7078990</v>
      </c>
      <c r="G64" s="13">
        <v>84350516</v>
      </c>
    </row>
    <row r="65" spans="1:7" x14ac:dyDescent="0.25">
      <c r="A65" s="12" t="s">
        <v>41</v>
      </c>
      <c r="B65" s="12" t="s">
        <v>501</v>
      </c>
      <c r="C65" s="12" t="s">
        <v>502</v>
      </c>
      <c r="D65" s="13">
        <v>49098780</v>
      </c>
      <c r="E65" s="13">
        <v>57694194</v>
      </c>
      <c r="F65" s="13">
        <v>12307870</v>
      </c>
      <c r="G65" s="13">
        <v>31820494</v>
      </c>
    </row>
    <row r="66" spans="1:7" x14ac:dyDescent="0.25">
      <c r="A66" s="12" t="s">
        <v>146</v>
      </c>
      <c r="B66" s="12" t="s">
        <v>501</v>
      </c>
      <c r="C66" s="12" t="s">
        <v>502</v>
      </c>
      <c r="D66" s="13">
        <v>86686304</v>
      </c>
      <c r="E66" s="13">
        <v>14459762</v>
      </c>
      <c r="F66" s="13">
        <v>5488941</v>
      </c>
      <c r="G66" s="13">
        <v>47123782</v>
      </c>
    </row>
    <row r="67" spans="1:7" x14ac:dyDescent="0.25">
      <c r="A67" s="12" t="s">
        <v>189</v>
      </c>
      <c r="B67" s="12" t="s">
        <v>501</v>
      </c>
      <c r="C67" s="12" t="s">
        <v>502</v>
      </c>
      <c r="D67" s="13">
        <v>44311977</v>
      </c>
      <c r="E67" s="13">
        <v>2439368</v>
      </c>
      <c r="F67" s="13">
        <v>2730103</v>
      </c>
      <c r="G67" s="13">
        <v>8768033</v>
      </c>
    </row>
    <row r="68" spans="1:7" x14ac:dyDescent="0.25">
      <c r="A68" s="12" t="s">
        <v>175</v>
      </c>
      <c r="B68" s="12" t="s">
        <v>501</v>
      </c>
      <c r="C68" s="12" t="s">
        <v>502</v>
      </c>
      <c r="D68" s="13">
        <v>19624126</v>
      </c>
      <c r="E68" s="13">
        <v>1682372</v>
      </c>
      <c r="F68" s="13">
        <v>985007</v>
      </c>
      <c r="G68" s="13">
        <v>6932269</v>
      </c>
    </row>
    <row r="69" spans="1:7" x14ac:dyDescent="0.25">
      <c r="A69" s="12" t="s">
        <v>148</v>
      </c>
      <c r="B69" s="12" t="s">
        <v>501</v>
      </c>
      <c r="C69" s="12" t="s">
        <v>502</v>
      </c>
      <c r="D69" s="13">
        <v>38548118</v>
      </c>
      <c r="E69" s="13">
        <v>6399554</v>
      </c>
      <c r="F69" s="13">
        <v>2905755</v>
      </c>
      <c r="G69" s="13">
        <v>14235131</v>
      </c>
    </row>
    <row r="70" spans="1:7" x14ac:dyDescent="0.25">
      <c r="A70" s="12" t="s">
        <v>511</v>
      </c>
      <c r="B70" s="12" t="s">
        <v>501</v>
      </c>
      <c r="C70" s="12" t="s">
        <v>502</v>
      </c>
      <c r="D70" s="13">
        <v>137175886</v>
      </c>
      <c r="E70" s="13">
        <v>81139946</v>
      </c>
      <c r="F70" s="13">
        <v>59755015</v>
      </c>
      <c r="G70" s="13">
        <v>83426455</v>
      </c>
    </row>
    <row r="71" spans="1:7" x14ac:dyDescent="0.25">
      <c r="A71" s="12" t="s">
        <v>53</v>
      </c>
      <c r="B71" s="12" t="s">
        <v>501</v>
      </c>
      <c r="C71" s="12" t="s">
        <v>502</v>
      </c>
      <c r="D71" s="13">
        <v>34338313</v>
      </c>
      <c r="E71" s="13">
        <v>36053826</v>
      </c>
      <c r="F71" s="13">
        <v>10336333</v>
      </c>
      <c r="G71" s="13">
        <v>110205182</v>
      </c>
    </row>
    <row r="72" spans="1:7" x14ac:dyDescent="0.25">
      <c r="A72" s="12" t="s">
        <v>8</v>
      </c>
      <c r="B72" s="12" t="s">
        <v>501</v>
      </c>
      <c r="C72" s="12" t="s">
        <v>502</v>
      </c>
      <c r="D72" s="13">
        <v>2122002</v>
      </c>
      <c r="E72" s="13">
        <v>1340222</v>
      </c>
      <c r="F72" s="13">
        <v>821251</v>
      </c>
      <c r="G72" s="13">
        <v>7807402</v>
      </c>
    </row>
    <row r="73" spans="1:7" x14ac:dyDescent="0.25">
      <c r="A73" s="12" t="s">
        <v>140</v>
      </c>
      <c r="B73" s="12" t="s">
        <v>501</v>
      </c>
      <c r="C73" s="12" t="s">
        <v>502</v>
      </c>
      <c r="D73" s="13">
        <v>2642383190</v>
      </c>
      <c r="E73" s="13">
        <v>1142516877</v>
      </c>
      <c r="F73" s="13">
        <v>515235646</v>
      </c>
      <c r="G73" s="13">
        <v>3145203478</v>
      </c>
    </row>
    <row r="74" spans="1:7" x14ac:dyDescent="0.25">
      <c r="A74" s="12" t="s">
        <v>121</v>
      </c>
      <c r="B74" s="12" t="s">
        <v>501</v>
      </c>
      <c r="C74" s="12" t="s">
        <v>502</v>
      </c>
      <c r="D74" s="13">
        <v>1063857121</v>
      </c>
      <c r="E74" s="13">
        <v>260970408</v>
      </c>
      <c r="F74" s="13">
        <v>135095761</v>
      </c>
      <c r="G74" s="13">
        <v>678127163</v>
      </c>
    </row>
    <row r="75" spans="1:7" x14ac:dyDescent="0.25">
      <c r="A75" s="12" t="s">
        <v>512</v>
      </c>
      <c r="B75" s="12" t="s">
        <v>501</v>
      </c>
      <c r="C75" s="12" t="s">
        <v>502</v>
      </c>
      <c r="D75" s="13">
        <v>154836930</v>
      </c>
      <c r="E75" s="13">
        <v>63077735</v>
      </c>
      <c r="F75" s="13">
        <v>80206762</v>
      </c>
      <c r="G75" s="13">
        <v>230252411</v>
      </c>
    </row>
    <row r="76" spans="1:7" x14ac:dyDescent="0.25">
      <c r="A76" s="12" t="s">
        <v>136</v>
      </c>
      <c r="B76" s="12" t="s">
        <v>501</v>
      </c>
      <c r="C76" s="12" t="s">
        <v>502</v>
      </c>
      <c r="D76" s="13">
        <v>66346621</v>
      </c>
      <c r="E76" s="13">
        <v>19323137</v>
      </c>
      <c r="F76" s="13">
        <v>11717661</v>
      </c>
      <c r="G76" s="13">
        <v>49120964</v>
      </c>
    </row>
    <row r="77" spans="1:7" x14ac:dyDescent="0.25">
      <c r="A77" s="12" t="s">
        <v>18</v>
      </c>
      <c r="B77" s="12" t="s">
        <v>501</v>
      </c>
      <c r="C77" s="12" t="s">
        <v>502</v>
      </c>
      <c r="D77" s="13">
        <v>20030217</v>
      </c>
      <c r="E77" s="13">
        <v>25911263</v>
      </c>
      <c r="F77" s="13">
        <v>17506261</v>
      </c>
      <c r="G77" s="13">
        <v>85225375</v>
      </c>
    </row>
    <row r="78" spans="1:7" x14ac:dyDescent="0.25">
      <c r="A78" s="12" t="s">
        <v>34</v>
      </c>
      <c r="B78" s="12" t="s">
        <v>501</v>
      </c>
      <c r="C78" s="12" t="s">
        <v>502</v>
      </c>
      <c r="D78" s="13">
        <v>29913760</v>
      </c>
      <c r="E78" s="13">
        <v>38858592</v>
      </c>
      <c r="F78" s="13">
        <v>17849650</v>
      </c>
      <c r="G78" s="13">
        <v>221469009</v>
      </c>
    </row>
    <row r="79" spans="1:7" x14ac:dyDescent="0.25">
      <c r="A79" s="12" t="s">
        <v>37</v>
      </c>
      <c r="B79" s="12" t="s">
        <v>501</v>
      </c>
      <c r="C79" s="12" t="s">
        <v>502</v>
      </c>
      <c r="D79" s="13">
        <v>217122733</v>
      </c>
      <c r="E79" s="13">
        <v>217127438</v>
      </c>
      <c r="F79" s="13">
        <v>79779973</v>
      </c>
      <c r="G79" s="13">
        <v>439851682</v>
      </c>
    </row>
    <row r="80" spans="1:7" x14ac:dyDescent="0.25">
      <c r="A80" s="12" t="s">
        <v>125</v>
      </c>
      <c r="B80" s="12" t="s">
        <v>501</v>
      </c>
      <c r="C80" s="12" t="s">
        <v>502</v>
      </c>
      <c r="D80" s="13">
        <v>5885310</v>
      </c>
      <c r="E80" s="13">
        <v>2950351</v>
      </c>
      <c r="F80" s="13">
        <v>1368939</v>
      </c>
      <c r="G80" s="13">
        <v>4538091</v>
      </c>
    </row>
    <row r="81" spans="1:7" x14ac:dyDescent="0.25">
      <c r="A81" s="12" t="s">
        <v>30</v>
      </c>
      <c r="B81" s="12" t="s">
        <v>501</v>
      </c>
      <c r="C81" s="12" t="s">
        <v>502</v>
      </c>
      <c r="D81" s="13">
        <v>319923116</v>
      </c>
      <c r="E81" s="13">
        <v>374982148</v>
      </c>
      <c r="F81" s="13">
        <v>504658417</v>
      </c>
      <c r="G81" s="13">
        <v>1006802728</v>
      </c>
    </row>
    <row r="82" spans="1:7" x14ac:dyDescent="0.25">
      <c r="A82" s="12" t="s">
        <v>109</v>
      </c>
      <c r="B82" s="12" t="s">
        <v>501</v>
      </c>
      <c r="C82" s="12" t="s">
        <v>502</v>
      </c>
      <c r="D82" s="13">
        <v>15365540</v>
      </c>
      <c r="E82" s="13">
        <v>13874183</v>
      </c>
      <c r="F82" s="13">
        <v>4758850</v>
      </c>
      <c r="G82" s="13">
        <v>49646543</v>
      </c>
    </row>
    <row r="83" spans="1:7" x14ac:dyDescent="0.25">
      <c r="A83" s="12" t="s">
        <v>68</v>
      </c>
      <c r="B83" s="12" t="s">
        <v>501</v>
      </c>
      <c r="C83" s="12" t="s">
        <v>502</v>
      </c>
      <c r="D83" s="13">
        <v>105527802</v>
      </c>
      <c r="E83" s="13">
        <v>37903555</v>
      </c>
      <c r="F83" s="13">
        <v>98783047</v>
      </c>
      <c r="G83" s="13">
        <v>92595433</v>
      </c>
    </row>
    <row r="84" spans="1:7" x14ac:dyDescent="0.25">
      <c r="A84" s="12" t="s">
        <v>153</v>
      </c>
      <c r="B84" s="12" t="s">
        <v>501</v>
      </c>
      <c r="C84" s="12" t="s">
        <v>502</v>
      </c>
      <c r="D84" s="13">
        <v>160205831</v>
      </c>
      <c r="E84" s="13">
        <v>9563228</v>
      </c>
      <c r="F84" s="13">
        <v>7517254</v>
      </c>
      <c r="G84" s="13">
        <v>89461910</v>
      </c>
    </row>
    <row r="85" spans="1:7" x14ac:dyDescent="0.25">
      <c r="A85" s="12" t="s">
        <v>59</v>
      </c>
      <c r="B85" s="12" t="s">
        <v>501</v>
      </c>
      <c r="C85" s="12" t="s">
        <v>502</v>
      </c>
      <c r="D85" s="13">
        <v>18992339</v>
      </c>
      <c r="E85" s="13">
        <v>37709052</v>
      </c>
      <c r="F85" s="13">
        <v>13728987</v>
      </c>
      <c r="G85" s="13">
        <v>105554882</v>
      </c>
    </row>
    <row r="86" spans="1:7" x14ac:dyDescent="0.25">
      <c r="A86" s="12" t="s">
        <v>126</v>
      </c>
      <c r="B86" s="12" t="s">
        <v>501</v>
      </c>
      <c r="C86" s="12" t="s">
        <v>502</v>
      </c>
      <c r="D86" s="13">
        <v>13008691</v>
      </c>
      <c r="E86" s="13">
        <v>2187953</v>
      </c>
      <c r="F86" s="13">
        <v>422804</v>
      </c>
      <c r="G86" s="13">
        <v>7195771</v>
      </c>
    </row>
    <row r="87" spans="1:7" x14ac:dyDescent="0.25">
      <c r="A87" s="12" t="s">
        <v>513</v>
      </c>
      <c r="B87" s="12" t="s">
        <v>501</v>
      </c>
      <c r="C87" s="12" t="s">
        <v>502</v>
      </c>
      <c r="D87" s="13">
        <v>28646186</v>
      </c>
      <c r="E87" s="13">
        <v>6400613</v>
      </c>
      <c r="F87" s="13">
        <v>3121816</v>
      </c>
      <c r="G87" s="13">
        <v>38335316</v>
      </c>
    </row>
    <row r="88" spans="1:7" x14ac:dyDescent="0.25">
      <c r="A88" s="12" t="s">
        <v>514</v>
      </c>
      <c r="B88" s="12" t="s">
        <v>501</v>
      </c>
      <c r="C88" s="12" t="s">
        <v>502</v>
      </c>
      <c r="D88" s="13">
        <v>4350572659</v>
      </c>
      <c r="E88" s="13">
        <v>817632729</v>
      </c>
      <c r="F88" s="13">
        <v>519473881</v>
      </c>
      <c r="G88" s="13">
        <v>2539336984</v>
      </c>
    </row>
    <row r="89" spans="1:7" x14ac:dyDescent="0.25">
      <c r="A89" s="12" t="s">
        <v>49</v>
      </c>
      <c r="B89" s="12" t="s">
        <v>501</v>
      </c>
      <c r="C89" s="12" t="s">
        <v>502</v>
      </c>
      <c r="D89" s="13">
        <v>8441186</v>
      </c>
      <c r="E89" s="13">
        <v>10797113</v>
      </c>
      <c r="F89" s="13">
        <v>2021487</v>
      </c>
      <c r="G89" s="13">
        <v>22990099</v>
      </c>
    </row>
    <row r="90" spans="1:7" x14ac:dyDescent="0.25">
      <c r="A90" s="12" t="s">
        <v>110</v>
      </c>
      <c r="B90" s="12" t="s">
        <v>501</v>
      </c>
      <c r="C90" s="12" t="s">
        <v>502</v>
      </c>
      <c r="D90" s="13">
        <v>31318944</v>
      </c>
      <c r="E90" s="13">
        <v>7424675</v>
      </c>
      <c r="F90" s="13">
        <v>5441838</v>
      </c>
      <c r="G90" s="13">
        <v>11000387</v>
      </c>
    </row>
    <row r="91" spans="1:7" x14ac:dyDescent="0.25">
      <c r="A91" s="12" t="s">
        <v>187</v>
      </c>
      <c r="B91" s="12" t="s">
        <v>501</v>
      </c>
      <c r="C91" s="12" t="s">
        <v>502</v>
      </c>
      <c r="D91" s="13">
        <v>6619876</v>
      </c>
      <c r="E91" s="13">
        <v>470141</v>
      </c>
      <c r="F91" s="13">
        <v>417670</v>
      </c>
      <c r="G91" s="13">
        <v>1489649</v>
      </c>
    </row>
    <row r="92" spans="1:7" x14ac:dyDescent="0.25">
      <c r="A92" s="12" t="s">
        <v>124</v>
      </c>
      <c r="B92" s="12" t="s">
        <v>501</v>
      </c>
      <c r="C92" s="12" t="s">
        <v>502</v>
      </c>
      <c r="D92" s="13">
        <v>14115715</v>
      </c>
      <c r="E92" s="13">
        <v>10404846</v>
      </c>
      <c r="F92" s="13">
        <v>2492564</v>
      </c>
      <c r="G92" s="13">
        <v>60570221</v>
      </c>
    </row>
    <row r="93" spans="1:7" x14ac:dyDescent="0.25">
      <c r="A93" s="12" t="s">
        <v>46</v>
      </c>
      <c r="B93" s="12" t="s">
        <v>501</v>
      </c>
      <c r="C93" s="12" t="s">
        <v>502</v>
      </c>
      <c r="D93" s="13">
        <v>15308305</v>
      </c>
      <c r="E93" s="13">
        <v>17194933</v>
      </c>
      <c r="F93" s="13">
        <v>3888257</v>
      </c>
      <c r="G93" s="13">
        <v>27684384</v>
      </c>
    </row>
    <row r="94" spans="1:7" x14ac:dyDescent="0.25">
      <c r="A94" s="12" t="s">
        <v>32</v>
      </c>
      <c r="B94" s="12" t="s">
        <v>501</v>
      </c>
      <c r="C94" s="12" t="s">
        <v>502</v>
      </c>
      <c r="D94" s="13">
        <v>27448515</v>
      </c>
      <c r="E94" s="13">
        <v>5253490</v>
      </c>
      <c r="F94" s="13">
        <v>2163040</v>
      </c>
      <c r="G94" s="13">
        <v>13699741</v>
      </c>
    </row>
    <row r="95" spans="1:7" x14ac:dyDescent="0.25">
      <c r="A95" s="12" t="s">
        <v>193</v>
      </c>
      <c r="B95" s="12" t="s">
        <v>501</v>
      </c>
      <c r="C95" s="12" t="s">
        <v>502</v>
      </c>
      <c r="D95" s="13">
        <v>50508405</v>
      </c>
      <c r="E95" s="13">
        <v>1939617</v>
      </c>
      <c r="F95" s="13">
        <v>1494807</v>
      </c>
      <c r="G95" s="13">
        <v>8212389</v>
      </c>
    </row>
    <row r="96" spans="1:7" x14ac:dyDescent="0.25">
      <c r="A96" s="12" t="s">
        <v>182</v>
      </c>
      <c r="B96" s="12" t="s">
        <v>501</v>
      </c>
      <c r="C96" s="12" t="s">
        <v>502</v>
      </c>
      <c r="D96" s="13">
        <v>61207527</v>
      </c>
      <c r="E96" s="13">
        <v>1749974</v>
      </c>
      <c r="F96" s="13">
        <v>924624</v>
      </c>
      <c r="G96" s="13">
        <v>10379795</v>
      </c>
    </row>
    <row r="97" spans="1:7" x14ac:dyDescent="0.25">
      <c r="A97" s="12" t="s">
        <v>74</v>
      </c>
      <c r="B97" s="12" t="s">
        <v>501</v>
      </c>
      <c r="C97" s="12" t="s">
        <v>502</v>
      </c>
      <c r="D97" s="13">
        <v>240383480</v>
      </c>
      <c r="E97" s="13">
        <v>68526765</v>
      </c>
      <c r="F97" s="13">
        <v>49986309</v>
      </c>
      <c r="G97" s="13">
        <v>375108196</v>
      </c>
    </row>
    <row r="98" spans="1:7" x14ac:dyDescent="0.25">
      <c r="A98" s="12" t="s">
        <v>198</v>
      </c>
      <c r="B98" s="12" t="s">
        <v>501</v>
      </c>
      <c r="C98" s="12" t="s">
        <v>502</v>
      </c>
      <c r="D98" s="13">
        <v>45596188</v>
      </c>
      <c r="E98" s="13">
        <v>2843314</v>
      </c>
      <c r="F98" s="13">
        <v>1920838</v>
      </c>
      <c r="G98" s="13">
        <v>23356339</v>
      </c>
    </row>
    <row r="99" spans="1:7" x14ac:dyDescent="0.25">
      <c r="A99" s="12" t="s">
        <v>31</v>
      </c>
      <c r="B99" s="12" t="s">
        <v>501</v>
      </c>
      <c r="C99" s="12" t="s">
        <v>502</v>
      </c>
      <c r="D99" s="13">
        <v>1134234</v>
      </c>
      <c r="E99" s="13">
        <v>1824321</v>
      </c>
      <c r="F99" s="13">
        <v>766084</v>
      </c>
      <c r="G99" s="13">
        <v>7224348</v>
      </c>
    </row>
    <row r="100" spans="1:7" x14ac:dyDescent="0.25">
      <c r="A100" s="12" t="s">
        <v>172</v>
      </c>
      <c r="B100" s="12" t="s">
        <v>501</v>
      </c>
      <c r="C100" s="12" t="s">
        <v>502</v>
      </c>
      <c r="D100" s="13">
        <v>17671334</v>
      </c>
      <c r="E100" s="13">
        <v>1555781</v>
      </c>
      <c r="F100" s="13">
        <v>3360207</v>
      </c>
      <c r="G100" s="13">
        <v>5485321</v>
      </c>
    </row>
    <row r="101" spans="1:7" x14ac:dyDescent="0.25">
      <c r="A101" s="12" t="s">
        <v>90</v>
      </c>
      <c r="B101" s="12" t="s">
        <v>501</v>
      </c>
      <c r="C101" s="12" t="s">
        <v>502</v>
      </c>
      <c r="D101" s="13">
        <v>503378048</v>
      </c>
      <c r="E101" s="13">
        <v>261748842</v>
      </c>
      <c r="F101" s="13">
        <v>132341720</v>
      </c>
      <c r="G101" s="13">
        <v>535182985</v>
      </c>
    </row>
    <row r="102" spans="1:7" x14ac:dyDescent="0.25">
      <c r="A102" s="12" t="s">
        <v>515</v>
      </c>
      <c r="B102" s="12" t="s">
        <v>501</v>
      </c>
      <c r="C102" s="12" t="s">
        <v>502</v>
      </c>
      <c r="D102" s="13">
        <v>11758994</v>
      </c>
      <c r="E102" s="13">
        <v>3007999</v>
      </c>
      <c r="F102" s="13">
        <v>1220241</v>
      </c>
      <c r="G102" s="13">
        <v>14088748</v>
      </c>
    </row>
    <row r="103" spans="1:7" x14ac:dyDescent="0.25">
      <c r="A103" s="12" t="s">
        <v>112</v>
      </c>
      <c r="B103" s="12" t="s">
        <v>501</v>
      </c>
      <c r="C103" s="12" t="s">
        <v>502</v>
      </c>
      <c r="D103" s="13">
        <v>64600488</v>
      </c>
      <c r="E103" s="13">
        <v>5922866</v>
      </c>
      <c r="F103" s="13">
        <v>2906026</v>
      </c>
      <c r="G103" s="13">
        <v>12899740</v>
      </c>
    </row>
    <row r="104" spans="1:7" x14ac:dyDescent="0.25">
      <c r="A104" s="12" t="s">
        <v>128</v>
      </c>
      <c r="B104" s="12" t="s">
        <v>501</v>
      </c>
      <c r="C104" s="12" t="s">
        <v>502</v>
      </c>
      <c r="D104" s="13">
        <v>89830247</v>
      </c>
      <c r="E104" s="13">
        <v>19303525</v>
      </c>
      <c r="F104" s="13">
        <v>11222042</v>
      </c>
      <c r="G104" s="13">
        <v>100890578</v>
      </c>
    </row>
    <row r="105" spans="1:7" x14ac:dyDescent="0.25">
      <c r="A105" s="12" t="s">
        <v>192</v>
      </c>
      <c r="B105" s="12" t="s">
        <v>501</v>
      </c>
      <c r="C105" s="12" t="s">
        <v>502</v>
      </c>
      <c r="D105" s="13">
        <v>44568575</v>
      </c>
      <c r="E105" s="13">
        <v>6295283</v>
      </c>
      <c r="F105" s="13">
        <v>6066304</v>
      </c>
      <c r="G105" s="13">
        <v>20109171</v>
      </c>
    </row>
    <row r="106" spans="1:7" x14ac:dyDescent="0.25">
      <c r="A106" s="12" t="s">
        <v>159</v>
      </c>
      <c r="B106" s="12" t="s">
        <v>501</v>
      </c>
      <c r="C106" s="12" t="s">
        <v>502</v>
      </c>
      <c r="D106" s="13">
        <v>151211462</v>
      </c>
      <c r="E106" s="13">
        <v>6731507</v>
      </c>
      <c r="F106" s="13">
        <v>23453838</v>
      </c>
      <c r="G106" s="13">
        <v>49504131</v>
      </c>
    </row>
    <row r="107" spans="1:7" x14ac:dyDescent="0.25">
      <c r="A107" s="12" t="s">
        <v>145</v>
      </c>
      <c r="B107" s="12" t="s">
        <v>501</v>
      </c>
      <c r="C107" s="12" t="s">
        <v>502</v>
      </c>
      <c r="D107" s="13">
        <v>6216661</v>
      </c>
      <c r="E107" s="13">
        <v>1834481</v>
      </c>
      <c r="F107" s="13">
        <v>20068654</v>
      </c>
      <c r="G107" s="13">
        <v>5287809</v>
      </c>
    </row>
    <row r="108" spans="1:7" x14ac:dyDescent="0.25">
      <c r="A108" s="12" t="s">
        <v>154</v>
      </c>
      <c r="B108" s="12" t="s">
        <v>501</v>
      </c>
      <c r="C108" s="12" t="s">
        <v>502</v>
      </c>
      <c r="D108" s="13">
        <v>86886112</v>
      </c>
      <c r="E108" s="13">
        <v>10586676</v>
      </c>
      <c r="F108" s="13">
        <v>9231119</v>
      </c>
      <c r="G108" s="13">
        <v>138862301</v>
      </c>
    </row>
    <row r="109" spans="1:7" x14ac:dyDescent="0.25">
      <c r="A109" s="12" t="s">
        <v>16</v>
      </c>
      <c r="B109" s="12" t="s">
        <v>501</v>
      </c>
      <c r="C109" s="12" t="s">
        <v>502</v>
      </c>
      <c r="D109" s="13">
        <v>115851102</v>
      </c>
      <c r="E109" s="13">
        <v>104683890</v>
      </c>
      <c r="F109" s="13">
        <v>57041699</v>
      </c>
      <c r="G109" s="13">
        <v>297705315</v>
      </c>
    </row>
    <row r="110" spans="1:7" x14ac:dyDescent="0.25">
      <c r="A110" s="12" t="s">
        <v>25</v>
      </c>
      <c r="B110" s="12" t="s">
        <v>501</v>
      </c>
      <c r="C110" s="12" t="s">
        <v>502</v>
      </c>
      <c r="D110" s="13">
        <v>61836212</v>
      </c>
      <c r="E110" s="13">
        <v>33021006</v>
      </c>
      <c r="F110" s="13">
        <v>16333924</v>
      </c>
      <c r="G110" s="13">
        <v>61684820</v>
      </c>
    </row>
    <row r="111" spans="1:7" x14ac:dyDescent="0.25">
      <c r="A111" s="12" t="s">
        <v>131</v>
      </c>
      <c r="B111" s="12" t="s">
        <v>501</v>
      </c>
      <c r="C111" s="12" t="s">
        <v>502</v>
      </c>
      <c r="D111" s="13">
        <v>31662454</v>
      </c>
      <c r="E111" s="13">
        <v>3519825</v>
      </c>
      <c r="F111" s="13">
        <v>1824745</v>
      </c>
      <c r="G111" s="13">
        <v>25242595</v>
      </c>
    </row>
    <row r="112" spans="1:7" x14ac:dyDescent="0.25">
      <c r="A112" s="12" t="s">
        <v>199</v>
      </c>
      <c r="B112" s="12" t="s">
        <v>501</v>
      </c>
      <c r="C112" s="12" t="s">
        <v>502</v>
      </c>
      <c r="D112" s="13">
        <v>69103729</v>
      </c>
      <c r="E112" s="13">
        <v>1444587</v>
      </c>
      <c r="F112" s="13">
        <v>2943203</v>
      </c>
      <c r="G112" s="13">
        <v>24617898</v>
      </c>
    </row>
    <row r="113" spans="1:7" x14ac:dyDescent="0.25">
      <c r="A113" s="12" t="s">
        <v>173</v>
      </c>
      <c r="B113" s="12" t="s">
        <v>501</v>
      </c>
      <c r="C113" s="12" t="s">
        <v>502</v>
      </c>
      <c r="D113" s="13">
        <v>513328566</v>
      </c>
      <c r="E113" s="13">
        <v>16859999</v>
      </c>
      <c r="F113" s="13">
        <v>15821686</v>
      </c>
      <c r="G113" s="13">
        <v>170432700</v>
      </c>
    </row>
    <row r="114" spans="1:7" x14ac:dyDescent="0.25">
      <c r="A114" s="12" t="s">
        <v>516</v>
      </c>
      <c r="B114" s="12" t="s">
        <v>501</v>
      </c>
      <c r="C114" s="12" t="s">
        <v>502</v>
      </c>
      <c r="D114" s="13">
        <v>2746824459</v>
      </c>
      <c r="E114" s="13">
        <v>3515097110</v>
      </c>
      <c r="F114" s="13">
        <v>1384616191</v>
      </c>
      <c r="G114" s="13">
        <v>4633187389</v>
      </c>
    </row>
    <row r="115" spans="1:7" x14ac:dyDescent="0.25">
      <c r="A115" s="12" t="s">
        <v>517</v>
      </c>
      <c r="B115" s="12" t="s">
        <v>501</v>
      </c>
      <c r="C115" s="12" t="s">
        <v>502</v>
      </c>
      <c r="D115" s="13">
        <v>29323620</v>
      </c>
      <c r="E115" s="13">
        <v>12608032</v>
      </c>
      <c r="F115" s="13">
        <v>11577468</v>
      </c>
      <c r="G115" s="13">
        <v>57549105</v>
      </c>
    </row>
    <row r="116" spans="1:7" x14ac:dyDescent="0.25">
      <c r="A116" s="12" t="s">
        <v>75</v>
      </c>
      <c r="B116" s="12" t="s">
        <v>501</v>
      </c>
      <c r="C116" s="12" t="s">
        <v>502</v>
      </c>
      <c r="D116" s="13">
        <v>4764135</v>
      </c>
      <c r="E116" s="13">
        <v>5061049</v>
      </c>
      <c r="F116" s="13">
        <v>4277988</v>
      </c>
      <c r="G116" s="13">
        <v>5346870</v>
      </c>
    </row>
    <row r="117" spans="1:7" x14ac:dyDescent="0.25">
      <c r="A117" s="12" t="s">
        <v>518</v>
      </c>
      <c r="B117" s="12" t="s">
        <v>501</v>
      </c>
      <c r="C117" s="12" t="s">
        <v>502</v>
      </c>
      <c r="D117" s="13">
        <v>0</v>
      </c>
      <c r="E117" s="13">
        <v>0</v>
      </c>
      <c r="F117" s="13">
        <v>0</v>
      </c>
      <c r="G117" s="13">
        <v>0</v>
      </c>
    </row>
    <row r="118" spans="1:7" x14ac:dyDescent="0.25">
      <c r="A118" s="12" t="s">
        <v>9</v>
      </c>
      <c r="B118" s="12" t="s">
        <v>501</v>
      </c>
      <c r="C118" s="12" t="s">
        <v>502</v>
      </c>
      <c r="D118" s="13">
        <v>41353229</v>
      </c>
      <c r="E118" s="13">
        <v>36048385</v>
      </c>
      <c r="F118" s="13">
        <v>17165889</v>
      </c>
      <c r="G118" s="13">
        <v>110842007</v>
      </c>
    </row>
    <row r="119" spans="1:7" x14ac:dyDescent="0.25">
      <c r="A119" s="12" t="s">
        <v>57</v>
      </c>
      <c r="B119" s="12" t="s">
        <v>501</v>
      </c>
      <c r="C119" s="12" t="s">
        <v>502</v>
      </c>
      <c r="D119" s="13">
        <v>27146535</v>
      </c>
      <c r="E119" s="13">
        <v>12609699</v>
      </c>
      <c r="F119" s="13">
        <v>20516534</v>
      </c>
      <c r="G119" s="13">
        <v>118371103</v>
      </c>
    </row>
    <row r="120" spans="1:7" x14ac:dyDescent="0.25">
      <c r="A120" s="12" t="s">
        <v>178</v>
      </c>
      <c r="B120" s="12" t="s">
        <v>501</v>
      </c>
      <c r="C120" s="12" t="s">
        <v>502</v>
      </c>
      <c r="D120" s="13">
        <v>499390532</v>
      </c>
      <c r="E120" s="13">
        <v>77877762</v>
      </c>
      <c r="F120" s="13">
        <v>21001658</v>
      </c>
      <c r="G120" s="13">
        <v>348417658</v>
      </c>
    </row>
    <row r="121" spans="1:7" x14ac:dyDescent="0.25">
      <c r="A121" s="12" t="s">
        <v>519</v>
      </c>
      <c r="B121" s="12" t="s">
        <v>501</v>
      </c>
      <c r="C121" s="12" t="s">
        <v>502</v>
      </c>
      <c r="D121" s="13">
        <v>6241683</v>
      </c>
      <c r="E121" s="13">
        <v>3549023</v>
      </c>
      <c r="F121" s="13">
        <v>1350755</v>
      </c>
      <c r="G121" s="13">
        <v>15177647</v>
      </c>
    </row>
    <row r="122" spans="1:7" x14ac:dyDescent="0.25">
      <c r="A122" s="12" t="s">
        <v>66</v>
      </c>
      <c r="B122" s="12" t="s">
        <v>501</v>
      </c>
      <c r="C122" s="12" t="s">
        <v>502</v>
      </c>
      <c r="D122" s="13">
        <v>25231735</v>
      </c>
      <c r="E122" s="13">
        <v>21500356</v>
      </c>
      <c r="F122" s="13">
        <v>14885739</v>
      </c>
      <c r="G122" s="13">
        <v>110431965</v>
      </c>
    </row>
    <row r="123" spans="1:7" x14ac:dyDescent="0.25">
      <c r="A123" s="12" t="s">
        <v>169</v>
      </c>
      <c r="B123" s="12" t="s">
        <v>501</v>
      </c>
      <c r="C123" s="12" t="s">
        <v>502</v>
      </c>
      <c r="D123" s="13">
        <v>15711206</v>
      </c>
      <c r="E123" s="13">
        <v>1931610</v>
      </c>
      <c r="F123" s="13">
        <v>1276068</v>
      </c>
      <c r="G123" s="13">
        <v>4941978</v>
      </c>
    </row>
    <row r="124" spans="1:7" x14ac:dyDescent="0.25">
      <c r="A124" s="12" t="s">
        <v>107</v>
      </c>
      <c r="B124" s="12" t="s">
        <v>501</v>
      </c>
      <c r="C124" s="12" t="s">
        <v>502</v>
      </c>
      <c r="D124" s="13">
        <v>47084772</v>
      </c>
      <c r="E124" s="13">
        <v>3624298</v>
      </c>
      <c r="F124" s="13">
        <v>3250764</v>
      </c>
      <c r="G124" s="13">
        <v>45952622</v>
      </c>
    </row>
    <row r="125" spans="1:7" x14ac:dyDescent="0.25">
      <c r="A125" s="12" t="s">
        <v>87</v>
      </c>
      <c r="B125" s="12" t="s">
        <v>501</v>
      </c>
      <c r="C125" s="12" t="s">
        <v>502</v>
      </c>
      <c r="D125" s="13">
        <v>109964387</v>
      </c>
      <c r="E125" s="13">
        <v>26880967</v>
      </c>
      <c r="F125" s="13">
        <v>19922242</v>
      </c>
      <c r="G125" s="13">
        <v>69201047</v>
      </c>
    </row>
    <row r="126" spans="1:7" x14ac:dyDescent="0.25">
      <c r="A126" s="12" t="s">
        <v>127</v>
      </c>
      <c r="B126" s="12" t="s">
        <v>501</v>
      </c>
      <c r="C126" s="12" t="s">
        <v>502</v>
      </c>
      <c r="D126" s="13">
        <v>266074167</v>
      </c>
      <c r="E126" s="13">
        <v>83469462</v>
      </c>
      <c r="F126" s="13">
        <v>45743181</v>
      </c>
      <c r="G126" s="13">
        <v>613618678</v>
      </c>
    </row>
    <row r="127" spans="1:7" x14ac:dyDescent="0.25">
      <c r="A127" s="12" t="s">
        <v>42</v>
      </c>
      <c r="B127" s="12" t="s">
        <v>501</v>
      </c>
      <c r="C127" s="12" t="s">
        <v>502</v>
      </c>
      <c r="D127" s="13">
        <v>166461493</v>
      </c>
      <c r="E127" s="13">
        <v>158201882</v>
      </c>
      <c r="F127" s="13">
        <v>49597426</v>
      </c>
      <c r="G127" s="13">
        <v>219387970</v>
      </c>
    </row>
    <row r="128" spans="1:7" x14ac:dyDescent="0.25">
      <c r="A128" s="12" t="s">
        <v>47</v>
      </c>
      <c r="B128" s="12" t="s">
        <v>501</v>
      </c>
      <c r="C128" s="12" t="s">
        <v>502</v>
      </c>
      <c r="D128" s="13">
        <v>42107696</v>
      </c>
      <c r="E128" s="13">
        <v>37313285</v>
      </c>
      <c r="F128" s="13">
        <v>11333549</v>
      </c>
      <c r="G128" s="13">
        <v>58075501</v>
      </c>
    </row>
    <row r="129" spans="1:7" x14ac:dyDescent="0.25">
      <c r="A129" s="12" t="s">
        <v>50</v>
      </c>
      <c r="B129" s="12" t="s">
        <v>501</v>
      </c>
      <c r="C129" s="12" t="s">
        <v>502</v>
      </c>
      <c r="D129" s="13">
        <v>22486472</v>
      </c>
      <c r="E129" s="13">
        <v>11647456</v>
      </c>
      <c r="F129" s="13">
        <v>17381559</v>
      </c>
      <c r="G129" s="13">
        <v>149879460</v>
      </c>
    </row>
    <row r="130" spans="1:7" x14ac:dyDescent="0.25">
      <c r="A130" s="12" t="s">
        <v>520</v>
      </c>
      <c r="B130" s="12" t="s">
        <v>501</v>
      </c>
      <c r="C130" s="12" t="s">
        <v>502</v>
      </c>
      <c r="D130" s="13">
        <v>7647295</v>
      </c>
      <c r="E130" s="13">
        <v>811148</v>
      </c>
      <c r="F130" s="13">
        <v>630477</v>
      </c>
      <c r="G130" s="13">
        <v>12121391</v>
      </c>
    </row>
    <row r="131" spans="1:7" x14ac:dyDescent="0.25">
      <c r="A131" s="12" t="s">
        <v>63</v>
      </c>
      <c r="B131" s="12" t="s">
        <v>501</v>
      </c>
      <c r="C131" s="12" t="s">
        <v>502</v>
      </c>
      <c r="D131" s="13">
        <v>93406591</v>
      </c>
      <c r="E131" s="13">
        <v>73313937</v>
      </c>
      <c r="F131" s="13">
        <v>20350923</v>
      </c>
      <c r="G131" s="13">
        <v>183513267</v>
      </c>
    </row>
    <row r="132" spans="1:7" x14ac:dyDescent="0.25">
      <c r="A132" s="12" t="s">
        <v>71</v>
      </c>
      <c r="B132" s="12" t="s">
        <v>501</v>
      </c>
      <c r="C132" s="12" t="s">
        <v>502</v>
      </c>
      <c r="D132" s="13">
        <v>574295148</v>
      </c>
      <c r="E132" s="13">
        <v>354622352</v>
      </c>
      <c r="F132" s="13">
        <v>162558901</v>
      </c>
      <c r="G132" s="13">
        <v>596659854</v>
      </c>
    </row>
    <row r="133" spans="1:7" x14ac:dyDescent="0.25">
      <c r="A133" s="12" t="s">
        <v>168</v>
      </c>
      <c r="B133" s="12" t="s">
        <v>501</v>
      </c>
      <c r="C133" s="12" t="s">
        <v>502</v>
      </c>
      <c r="D133" s="13">
        <v>21760126</v>
      </c>
      <c r="E133" s="13">
        <v>2218667</v>
      </c>
      <c r="F133" s="13">
        <v>2289750</v>
      </c>
      <c r="G133" s="13">
        <v>21648117</v>
      </c>
    </row>
    <row r="134" spans="1:7" x14ac:dyDescent="0.25">
      <c r="A134" s="12" t="s">
        <v>44</v>
      </c>
      <c r="B134" s="12" t="s">
        <v>501</v>
      </c>
      <c r="C134" s="12" t="s">
        <v>502</v>
      </c>
      <c r="D134" s="13">
        <v>95083092</v>
      </c>
      <c r="E134" s="13">
        <v>128628383</v>
      </c>
      <c r="F134" s="13">
        <v>88616657</v>
      </c>
      <c r="G134" s="13">
        <v>557015034</v>
      </c>
    </row>
    <row r="135" spans="1:7" x14ac:dyDescent="0.25">
      <c r="A135" s="12" t="s">
        <v>179</v>
      </c>
      <c r="B135" s="12" t="s">
        <v>501</v>
      </c>
      <c r="C135" s="12" t="s">
        <v>502</v>
      </c>
      <c r="D135" s="13">
        <v>57824354</v>
      </c>
      <c r="E135" s="13">
        <v>4948214</v>
      </c>
      <c r="F135" s="13">
        <v>2642677</v>
      </c>
      <c r="G135" s="13">
        <v>30525765</v>
      </c>
    </row>
    <row r="136" spans="1:7" x14ac:dyDescent="0.25">
      <c r="A136" s="12" t="s">
        <v>70</v>
      </c>
      <c r="B136" s="12" t="s">
        <v>501</v>
      </c>
      <c r="C136" s="12" t="s">
        <v>502</v>
      </c>
      <c r="D136" s="13">
        <v>37745766</v>
      </c>
      <c r="E136" s="13">
        <v>36446898</v>
      </c>
      <c r="F136" s="13">
        <v>3545667</v>
      </c>
      <c r="G136" s="13">
        <v>41740657</v>
      </c>
    </row>
    <row r="137" spans="1:7" x14ac:dyDescent="0.25">
      <c r="A137" s="12" t="s">
        <v>521</v>
      </c>
      <c r="B137" s="12" t="s">
        <v>501</v>
      </c>
      <c r="C137" s="12" t="s">
        <v>502</v>
      </c>
      <c r="D137" s="13"/>
      <c r="E137" s="13"/>
      <c r="F137" s="13"/>
      <c r="G137" s="13"/>
    </row>
    <row r="138" spans="1:7" x14ac:dyDescent="0.25">
      <c r="A138" s="12" t="s">
        <v>195</v>
      </c>
      <c r="B138" s="12" t="s">
        <v>501</v>
      </c>
      <c r="C138" s="12" t="s">
        <v>502</v>
      </c>
      <c r="D138" s="13">
        <v>14998581</v>
      </c>
      <c r="E138" s="13">
        <v>510226</v>
      </c>
      <c r="F138" s="13">
        <v>300914</v>
      </c>
      <c r="G138" s="13">
        <v>10063252</v>
      </c>
    </row>
    <row r="139" spans="1:7" x14ac:dyDescent="0.25">
      <c r="A139" s="12" t="s">
        <v>20</v>
      </c>
      <c r="B139" s="12" t="s">
        <v>501</v>
      </c>
      <c r="C139" s="12" t="s">
        <v>502</v>
      </c>
      <c r="D139" s="13">
        <v>38590405</v>
      </c>
      <c r="E139" s="13">
        <v>54058113</v>
      </c>
      <c r="F139" s="13">
        <v>32327935</v>
      </c>
      <c r="G139" s="13">
        <v>194045393</v>
      </c>
    </row>
    <row r="140" spans="1:7" x14ac:dyDescent="0.25">
      <c r="A140" s="12" t="s">
        <v>51</v>
      </c>
      <c r="B140" s="12" t="s">
        <v>501</v>
      </c>
      <c r="C140" s="12" t="s">
        <v>502</v>
      </c>
      <c r="D140" s="13">
        <v>21082253</v>
      </c>
      <c r="E140" s="13">
        <v>25926002</v>
      </c>
      <c r="F140" s="13">
        <v>8335629</v>
      </c>
      <c r="G140" s="13">
        <v>39113839</v>
      </c>
    </row>
    <row r="141" spans="1:7" x14ac:dyDescent="0.25">
      <c r="A141" s="12" t="s">
        <v>28</v>
      </c>
      <c r="B141" s="12" t="s">
        <v>501</v>
      </c>
      <c r="C141" s="12" t="s">
        <v>502</v>
      </c>
      <c r="D141" s="13">
        <v>9772434</v>
      </c>
      <c r="E141" s="13">
        <v>8519229</v>
      </c>
      <c r="F141" s="13">
        <v>3583498</v>
      </c>
      <c r="G141" s="13">
        <v>22295828</v>
      </c>
    </row>
    <row r="142" spans="1:7" x14ac:dyDescent="0.25">
      <c r="A142" s="12" t="s">
        <v>202</v>
      </c>
      <c r="B142" s="12" t="s">
        <v>501</v>
      </c>
      <c r="C142" s="12" t="s">
        <v>502</v>
      </c>
      <c r="D142" s="13">
        <v>57423983</v>
      </c>
      <c r="E142" s="13">
        <v>1748464</v>
      </c>
      <c r="F142" s="13">
        <v>2003644</v>
      </c>
      <c r="G142" s="13">
        <v>6002584</v>
      </c>
    </row>
    <row r="143" spans="1:7" x14ac:dyDescent="0.25">
      <c r="A143" s="12" t="s">
        <v>114</v>
      </c>
      <c r="B143" s="12" t="s">
        <v>501</v>
      </c>
      <c r="C143" s="12" t="s">
        <v>502</v>
      </c>
      <c r="D143" s="13">
        <v>175452776</v>
      </c>
      <c r="E143" s="13">
        <v>66560138</v>
      </c>
      <c r="F143" s="13">
        <v>31400266</v>
      </c>
      <c r="G143" s="13">
        <v>77788686</v>
      </c>
    </row>
    <row r="144" spans="1:7" x14ac:dyDescent="0.25">
      <c r="A144" s="12" t="s">
        <v>522</v>
      </c>
      <c r="B144" s="12" t="s">
        <v>501</v>
      </c>
      <c r="C144" s="12" t="s">
        <v>502</v>
      </c>
      <c r="D144" s="13">
        <v>160064636</v>
      </c>
      <c r="E144" s="13">
        <v>273527861</v>
      </c>
      <c r="F144" s="13">
        <v>209763533</v>
      </c>
      <c r="G144" s="13">
        <v>591981772</v>
      </c>
    </row>
    <row r="145" spans="1:7" x14ac:dyDescent="0.25">
      <c r="A145" s="12" t="s">
        <v>203</v>
      </c>
      <c r="B145" s="12" t="s">
        <v>501</v>
      </c>
      <c r="C145" s="12" t="s">
        <v>502</v>
      </c>
      <c r="D145" s="13">
        <v>21726444</v>
      </c>
      <c r="E145" s="13">
        <v>3345733</v>
      </c>
      <c r="F145" s="13">
        <v>437624</v>
      </c>
      <c r="G145" s="13">
        <v>477121</v>
      </c>
    </row>
    <row r="146" spans="1:7" x14ac:dyDescent="0.25">
      <c r="A146" s="12" t="s">
        <v>523</v>
      </c>
      <c r="B146" s="12" t="s">
        <v>501</v>
      </c>
      <c r="C146" s="12" t="s">
        <v>502</v>
      </c>
      <c r="D146" s="13">
        <v>0</v>
      </c>
      <c r="E146" s="13">
        <v>0</v>
      </c>
      <c r="F146" s="13">
        <v>0</v>
      </c>
      <c r="G146" s="13">
        <v>0</v>
      </c>
    </row>
    <row r="147" spans="1:7" x14ac:dyDescent="0.25">
      <c r="A147" s="12" t="s">
        <v>35</v>
      </c>
      <c r="B147" s="12" t="s">
        <v>501</v>
      </c>
      <c r="C147" s="12" t="s">
        <v>502</v>
      </c>
      <c r="D147" s="13">
        <v>224200623</v>
      </c>
      <c r="E147" s="13">
        <v>128432246</v>
      </c>
      <c r="F147" s="13">
        <v>87923248</v>
      </c>
      <c r="G147" s="13">
        <v>233039014</v>
      </c>
    </row>
    <row r="148" spans="1:7" x14ac:dyDescent="0.25">
      <c r="A148" s="12" t="s">
        <v>99</v>
      </c>
      <c r="B148" s="12" t="s">
        <v>501</v>
      </c>
      <c r="C148" s="12" t="s">
        <v>502</v>
      </c>
      <c r="D148" s="13">
        <v>31603720</v>
      </c>
      <c r="E148" s="13">
        <v>11596106</v>
      </c>
      <c r="F148" s="13">
        <v>8213395</v>
      </c>
      <c r="G148" s="13">
        <v>37892849</v>
      </c>
    </row>
    <row r="149" spans="1:7" x14ac:dyDescent="0.25">
      <c r="A149" s="12" t="s">
        <v>186</v>
      </c>
      <c r="B149" s="12" t="s">
        <v>501</v>
      </c>
      <c r="C149" s="12" t="s">
        <v>502</v>
      </c>
      <c r="D149" s="13">
        <v>160213859</v>
      </c>
      <c r="E149" s="13">
        <v>3321117</v>
      </c>
      <c r="F149" s="13">
        <v>1556706</v>
      </c>
      <c r="G149" s="13">
        <v>35742562</v>
      </c>
    </row>
    <row r="150" spans="1:7" x14ac:dyDescent="0.25">
      <c r="A150" s="12" t="s">
        <v>524</v>
      </c>
      <c r="B150" s="12" t="s">
        <v>501</v>
      </c>
      <c r="C150" s="12" t="s">
        <v>502</v>
      </c>
      <c r="D150" s="13">
        <v>0</v>
      </c>
      <c r="E150" s="13">
        <v>0</v>
      </c>
      <c r="F150" s="13">
        <v>0</v>
      </c>
      <c r="G150" s="13">
        <v>0</v>
      </c>
    </row>
    <row r="151" spans="1:7" x14ac:dyDescent="0.25">
      <c r="A151" s="12" t="s">
        <v>13</v>
      </c>
      <c r="B151" s="12" t="s">
        <v>501</v>
      </c>
      <c r="C151" s="12" t="s">
        <v>502</v>
      </c>
      <c r="D151" s="13">
        <v>63703362</v>
      </c>
      <c r="E151" s="13">
        <v>44942801</v>
      </c>
      <c r="F151" s="13">
        <v>30910775</v>
      </c>
      <c r="G151" s="13">
        <v>114938589</v>
      </c>
    </row>
    <row r="152" spans="1:7" x14ac:dyDescent="0.25">
      <c r="A152" s="12" t="s">
        <v>10</v>
      </c>
      <c r="B152" s="12" t="s">
        <v>501</v>
      </c>
      <c r="C152" s="12" t="s">
        <v>502</v>
      </c>
      <c r="D152" s="13">
        <v>68239457</v>
      </c>
      <c r="E152" s="13">
        <v>65736876</v>
      </c>
      <c r="F152" s="13">
        <v>33997748</v>
      </c>
      <c r="G152" s="13">
        <v>182388058</v>
      </c>
    </row>
    <row r="153" spans="1:7" x14ac:dyDescent="0.25">
      <c r="A153" s="12" t="s">
        <v>525</v>
      </c>
      <c r="B153" s="12" t="s">
        <v>501</v>
      </c>
      <c r="C153" s="12" t="s">
        <v>502</v>
      </c>
      <c r="D153" s="13">
        <v>15095391</v>
      </c>
      <c r="E153" s="13">
        <v>3930665</v>
      </c>
      <c r="F153" s="13">
        <v>1887144</v>
      </c>
      <c r="G153" s="13">
        <v>30414410</v>
      </c>
    </row>
    <row r="154" spans="1:7" x14ac:dyDescent="0.25">
      <c r="A154" s="12" t="s">
        <v>137</v>
      </c>
      <c r="B154" s="12" t="s">
        <v>501</v>
      </c>
      <c r="C154" s="12" t="s">
        <v>502</v>
      </c>
      <c r="D154" s="13">
        <v>17778947</v>
      </c>
      <c r="E154" s="13">
        <v>3676565</v>
      </c>
      <c r="F154" s="13">
        <v>4579363</v>
      </c>
      <c r="G154" s="13">
        <v>10772230</v>
      </c>
    </row>
    <row r="155" spans="1:7" x14ac:dyDescent="0.25">
      <c r="A155" s="12" t="s">
        <v>526</v>
      </c>
      <c r="B155" s="12" t="s">
        <v>501</v>
      </c>
      <c r="C155" s="12" t="s">
        <v>502</v>
      </c>
      <c r="D155" s="13">
        <v>173146636</v>
      </c>
      <c r="E155" s="13">
        <v>10825798</v>
      </c>
      <c r="F155" s="13">
        <v>6388106</v>
      </c>
      <c r="G155" s="13">
        <v>96600989</v>
      </c>
    </row>
    <row r="156" spans="1:7" x14ac:dyDescent="0.25">
      <c r="A156" s="12" t="s">
        <v>85</v>
      </c>
      <c r="B156" s="12" t="s">
        <v>501</v>
      </c>
      <c r="C156" s="12" t="s">
        <v>502</v>
      </c>
      <c r="D156" s="13">
        <v>263576484</v>
      </c>
      <c r="E156" s="13">
        <v>103918516</v>
      </c>
      <c r="F156" s="13">
        <v>70358624</v>
      </c>
      <c r="G156" s="13">
        <v>413306279</v>
      </c>
    </row>
    <row r="157" spans="1:7" x14ac:dyDescent="0.25">
      <c r="A157" s="12" t="s">
        <v>170</v>
      </c>
      <c r="B157" s="12" t="s">
        <v>501</v>
      </c>
      <c r="C157" s="12" t="s">
        <v>502</v>
      </c>
      <c r="D157" s="13">
        <v>15654284</v>
      </c>
      <c r="E157" s="13">
        <v>1989914</v>
      </c>
      <c r="F157" s="13">
        <v>508488</v>
      </c>
      <c r="G157" s="13">
        <v>4466408</v>
      </c>
    </row>
    <row r="158" spans="1:7" x14ac:dyDescent="0.25">
      <c r="A158" s="12" t="s">
        <v>113</v>
      </c>
      <c r="B158" s="12" t="s">
        <v>501</v>
      </c>
      <c r="C158" s="12" t="s">
        <v>502</v>
      </c>
      <c r="D158" s="13">
        <v>26819314</v>
      </c>
      <c r="E158" s="13">
        <v>6723138</v>
      </c>
      <c r="F158" s="13">
        <v>2695490</v>
      </c>
      <c r="G158" s="13">
        <v>54518298</v>
      </c>
    </row>
    <row r="159" spans="1:7" x14ac:dyDescent="0.25">
      <c r="A159" s="12" t="s">
        <v>527</v>
      </c>
      <c r="B159" s="12" t="s">
        <v>501</v>
      </c>
      <c r="C159" s="12" t="s">
        <v>502</v>
      </c>
      <c r="D159" s="13">
        <v>299309398</v>
      </c>
      <c r="E159" s="13">
        <v>232330724</v>
      </c>
      <c r="F159" s="13">
        <v>110068998</v>
      </c>
      <c r="G159" s="13">
        <v>1107277388</v>
      </c>
    </row>
    <row r="160" spans="1:7" x14ac:dyDescent="0.25">
      <c r="A160" s="12" t="s">
        <v>103</v>
      </c>
      <c r="B160" s="12" t="s">
        <v>501</v>
      </c>
      <c r="C160" s="12" t="s">
        <v>502</v>
      </c>
      <c r="D160" s="13">
        <v>23005564</v>
      </c>
      <c r="E160" s="13">
        <v>5648338</v>
      </c>
      <c r="F160" s="13">
        <v>7390164</v>
      </c>
      <c r="G160" s="13">
        <v>38105380</v>
      </c>
    </row>
    <row r="161" spans="1:7" x14ac:dyDescent="0.25">
      <c r="A161" s="12" t="s">
        <v>167</v>
      </c>
      <c r="B161" s="12" t="s">
        <v>501</v>
      </c>
      <c r="C161" s="12" t="s">
        <v>502</v>
      </c>
      <c r="D161" s="13">
        <v>105971354</v>
      </c>
      <c r="E161" s="13">
        <v>3073962</v>
      </c>
      <c r="F161" s="13">
        <v>9234635</v>
      </c>
      <c r="G161" s="13">
        <v>69808447</v>
      </c>
    </row>
    <row r="162" spans="1:7" x14ac:dyDescent="0.25">
      <c r="A162" s="12" t="s">
        <v>95</v>
      </c>
      <c r="B162" s="12" t="s">
        <v>501</v>
      </c>
      <c r="C162" s="12" t="s">
        <v>502</v>
      </c>
      <c r="D162" s="13">
        <v>271330817</v>
      </c>
      <c r="E162" s="13">
        <v>33214611</v>
      </c>
      <c r="F162" s="13">
        <v>9179349</v>
      </c>
      <c r="G162" s="13">
        <v>53408831</v>
      </c>
    </row>
    <row r="163" spans="1:7" x14ac:dyDescent="0.25">
      <c r="A163" s="12" t="s">
        <v>22</v>
      </c>
      <c r="B163" s="12" t="s">
        <v>501</v>
      </c>
      <c r="C163" s="12" t="s">
        <v>502</v>
      </c>
      <c r="D163" s="13">
        <v>37343428</v>
      </c>
      <c r="E163" s="13">
        <v>113119128</v>
      </c>
      <c r="F163" s="13">
        <v>105212576</v>
      </c>
      <c r="G163" s="13">
        <v>122773475</v>
      </c>
    </row>
    <row r="164" spans="1:7" x14ac:dyDescent="0.25">
      <c r="A164" s="12" t="s">
        <v>21</v>
      </c>
      <c r="B164" s="12" t="s">
        <v>501</v>
      </c>
      <c r="C164" s="12" t="s">
        <v>502</v>
      </c>
      <c r="D164" s="13">
        <v>277186745</v>
      </c>
      <c r="E164" s="13">
        <v>222398974</v>
      </c>
      <c r="F164" s="13">
        <v>114938103</v>
      </c>
      <c r="G164" s="13">
        <v>558376764</v>
      </c>
    </row>
    <row r="165" spans="1:7" x14ac:dyDescent="0.25">
      <c r="A165" s="12" t="s">
        <v>478</v>
      </c>
      <c r="B165" s="12" t="s">
        <v>501</v>
      </c>
      <c r="C165" s="12" t="s">
        <v>502</v>
      </c>
      <c r="D165" s="13">
        <v>2495190300</v>
      </c>
      <c r="E165" s="13">
        <v>2790031551</v>
      </c>
      <c r="F165" s="13">
        <v>1217412700</v>
      </c>
      <c r="G165" s="13">
        <v>4214978116</v>
      </c>
    </row>
    <row r="166" spans="1:7" x14ac:dyDescent="0.25">
      <c r="A166" s="12" t="s">
        <v>56</v>
      </c>
      <c r="B166" s="12" t="s">
        <v>501</v>
      </c>
      <c r="C166" s="12" t="s">
        <v>502</v>
      </c>
      <c r="D166" s="13">
        <v>13775644</v>
      </c>
      <c r="E166" s="13">
        <v>5283137</v>
      </c>
      <c r="F166" s="13">
        <v>3687301</v>
      </c>
      <c r="G166" s="13">
        <v>9646723</v>
      </c>
    </row>
    <row r="167" spans="1:7" x14ac:dyDescent="0.25">
      <c r="A167" s="12" t="s">
        <v>528</v>
      </c>
      <c r="B167" s="12" t="s">
        <v>501</v>
      </c>
      <c r="C167" s="12" t="s">
        <v>502</v>
      </c>
      <c r="D167" s="13"/>
      <c r="E167" s="13"/>
      <c r="F167" s="13"/>
      <c r="G167" s="13"/>
    </row>
    <row r="168" spans="1:7" x14ac:dyDescent="0.25">
      <c r="A168" s="12" t="s">
        <v>115</v>
      </c>
      <c r="B168" s="12" t="s">
        <v>501</v>
      </c>
      <c r="C168" s="12" t="s">
        <v>502</v>
      </c>
      <c r="D168" s="13">
        <v>45859143</v>
      </c>
      <c r="E168" s="13">
        <v>18948757</v>
      </c>
      <c r="F168" s="13">
        <v>11817843</v>
      </c>
      <c r="G168" s="13">
        <v>101938744</v>
      </c>
    </row>
    <row r="169" spans="1:7" x14ac:dyDescent="0.25">
      <c r="A169" s="12" t="s">
        <v>529</v>
      </c>
      <c r="B169" s="12" t="s">
        <v>501</v>
      </c>
      <c r="C169" s="12" t="s">
        <v>502</v>
      </c>
      <c r="D169" s="13">
        <v>112231888</v>
      </c>
      <c r="E169" s="13">
        <v>21420042</v>
      </c>
      <c r="F169" s="13">
        <v>32931237</v>
      </c>
      <c r="G169" s="13">
        <v>133195098</v>
      </c>
    </row>
    <row r="170" spans="1:7" x14ac:dyDescent="0.25">
      <c r="A170" s="12" t="s">
        <v>102</v>
      </c>
      <c r="B170" s="12" t="s">
        <v>501</v>
      </c>
      <c r="C170" s="12" t="s">
        <v>502</v>
      </c>
      <c r="D170" s="13">
        <v>263000453</v>
      </c>
      <c r="E170" s="13">
        <v>103706633</v>
      </c>
      <c r="F170" s="13">
        <v>88424804</v>
      </c>
      <c r="G170" s="13">
        <v>704002825</v>
      </c>
    </row>
    <row r="171" spans="1:7" x14ac:dyDescent="0.25">
      <c r="A171" s="12" t="s">
        <v>530</v>
      </c>
      <c r="B171" s="12" t="s">
        <v>501</v>
      </c>
      <c r="C171" s="12" t="s">
        <v>502</v>
      </c>
      <c r="D171" s="13">
        <v>372668885</v>
      </c>
      <c r="E171" s="13">
        <v>359090052</v>
      </c>
      <c r="F171" s="13">
        <v>281211061</v>
      </c>
      <c r="G171" s="13">
        <v>1246417847</v>
      </c>
    </row>
    <row r="172" spans="1:7" x14ac:dyDescent="0.25">
      <c r="A172" s="12" t="s">
        <v>531</v>
      </c>
      <c r="B172" s="12" t="s">
        <v>501</v>
      </c>
      <c r="C172" s="12" t="s">
        <v>502</v>
      </c>
      <c r="D172" s="13">
        <v>26499809842</v>
      </c>
      <c r="E172" s="13">
        <v>15549568401</v>
      </c>
      <c r="F172" s="13">
        <v>9623939959</v>
      </c>
      <c r="G172" s="13">
        <v>50425617960</v>
      </c>
    </row>
    <row r="173" spans="1:7" x14ac:dyDescent="0.25">
      <c r="A173" s="12" t="s">
        <v>194</v>
      </c>
      <c r="B173" s="12" t="s">
        <v>501</v>
      </c>
      <c r="C173" s="12" t="s">
        <v>502</v>
      </c>
      <c r="D173" s="13">
        <v>30657764</v>
      </c>
      <c r="E173" s="13">
        <v>2361167</v>
      </c>
      <c r="F173" s="13">
        <v>2217559</v>
      </c>
      <c r="G173" s="13">
        <v>20826881</v>
      </c>
    </row>
    <row r="174" spans="1:7" x14ac:dyDescent="0.25">
      <c r="A174" s="12" t="s">
        <v>532</v>
      </c>
      <c r="B174" s="12" t="s">
        <v>501</v>
      </c>
      <c r="C174" s="12" t="s">
        <v>502</v>
      </c>
      <c r="D174" s="13"/>
      <c r="E174" s="13"/>
      <c r="F174" s="13"/>
      <c r="G174" s="13"/>
    </row>
    <row r="175" spans="1:7" x14ac:dyDescent="0.25">
      <c r="A175" s="12" t="s">
        <v>163</v>
      </c>
      <c r="B175" s="12" t="s">
        <v>501</v>
      </c>
      <c r="C175" s="12" t="s">
        <v>502</v>
      </c>
      <c r="D175" s="13">
        <v>26676689</v>
      </c>
      <c r="E175" s="13">
        <v>3464482</v>
      </c>
      <c r="F175" s="13">
        <v>2376973</v>
      </c>
      <c r="G175" s="13">
        <v>22556118</v>
      </c>
    </row>
    <row r="176" spans="1:7" x14ac:dyDescent="0.25">
      <c r="A176" s="14" t="s">
        <v>162</v>
      </c>
      <c r="B176" s="14" t="s">
        <v>501</v>
      </c>
      <c r="C176" s="14" t="s">
        <v>502</v>
      </c>
      <c r="D176" s="15">
        <v>33745359</v>
      </c>
      <c r="E176" s="15">
        <v>4791125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F1741-7CB6-4975-98ED-C34FEE998473}">
  <sheetPr>
    <tabColor theme="9"/>
  </sheetPr>
  <dimension ref="A1:S38"/>
  <sheetViews>
    <sheetView workbookViewId="0">
      <selection activeCell="B1" sqref="B1:B1048576"/>
    </sheetView>
  </sheetViews>
  <sheetFormatPr defaultRowHeight="15" x14ac:dyDescent="0.25"/>
  <sheetData>
    <row r="1" spans="1:19" x14ac:dyDescent="0.25">
      <c r="A1" s="23" t="s">
        <v>1</v>
      </c>
      <c r="B1" s="24" t="s">
        <v>542</v>
      </c>
      <c r="C1" s="24" t="s">
        <v>543</v>
      </c>
      <c r="D1" s="24" t="s">
        <v>544</v>
      </c>
      <c r="E1" s="24" t="s">
        <v>545</v>
      </c>
      <c r="F1" s="24" t="s">
        <v>546</v>
      </c>
      <c r="G1" s="24" t="s">
        <v>547</v>
      </c>
      <c r="H1" s="24" t="s">
        <v>548</v>
      </c>
      <c r="I1" s="24" t="s">
        <v>549</v>
      </c>
      <c r="J1" s="24" t="s">
        <v>550</v>
      </c>
      <c r="K1" s="24" t="s">
        <v>551</v>
      </c>
      <c r="L1" s="24" t="s">
        <v>552</v>
      </c>
      <c r="M1" s="24" t="s">
        <v>553</v>
      </c>
      <c r="N1" s="24" t="s">
        <v>554</v>
      </c>
      <c r="O1" s="24" t="s">
        <v>555</v>
      </c>
      <c r="P1" s="24" t="s">
        <v>556</v>
      </c>
      <c r="Q1" s="24" t="s">
        <v>557</v>
      </c>
      <c r="R1" s="24" t="s">
        <v>558</v>
      </c>
      <c r="S1" s="24" t="s">
        <v>559</v>
      </c>
    </row>
    <row r="2" spans="1:19" x14ac:dyDescent="0.25">
      <c r="A2" s="25" t="s">
        <v>17</v>
      </c>
      <c r="B2" s="26">
        <v>16.158000000000001</v>
      </c>
      <c r="C2" s="26">
        <v>13.961</v>
      </c>
      <c r="D2" s="26">
        <v>13.696999999999999</v>
      </c>
      <c r="E2" s="26">
        <v>15.557</v>
      </c>
      <c r="F2" s="26">
        <v>14.099</v>
      </c>
      <c r="G2" s="26">
        <v>13.396000000000001</v>
      </c>
      <c r="H2" s="26">
        <v>14.532</v>
      </c>
      <c r="I2" s="26">
        <v>14.571999999999999</v>
      </c>
      <c r="J2" s="26">
        <v>14.052</v>
      </c>
      <c r="K2" s="26">
        <v>13.488</v>
      </c>
      <c r="L2" s="26">
        <v>14.984999999999999</v>
      </c>
      <c r="M2" s="26">
        <v>12.891999999999999</v>
      </c>
      <c r="N2" s="26">
        <v>13.06</v>
      </c>
      <c r="O2" s="26">
        <v>13.616</v>
      </c>
      <c r="P2" s="26">
        <v>11.778</v>
      </c>
      <c r="Q2" s="26">
        <v>10.077999999999999</v>
      </c>
      <c r="R2" s="26">
        <v>8.5630000000000006</v>
      </c>
      <c r="S2" s="26">
        <v>9.1069999999999993</v>
      </c>
    </row>
    <row r="3" spans="1:19" x14ac:dyDescent="0.25">
      <c r="A3" s="25" t="s">
        <v>62</v>
      </c>
      <c r="B3" s="27">
        <v>18.449000000000002</v>
      </c>
      <c r="C3" s="27">
        <v>15.162000000000001</v>
      </c>
      <c r="D3" s="27">
        <v>12.875</v>
      </c>
      <c r="E3" s="27">
        <v>13.484</v>
      </c>
      <c r="F3" s="27">
        <v>13.35</v>
      </c>
      <c r="G3" s="27">
        <v>13.909000000000001</v>
      </c>
      <c r="H3" s="27">
        <v>14.78</v>
      </c>
      <c r="I3" s="27">
        <v>16.077000000000002</v>
      </c>
      <c r="J3" s="27">
        <v>15.006</v>
      </c>
      <c r="K3" s="27">
        <v>14.814</v>
      </c>
      <c r="L3" s="27">
        <v>17.367000000000001</v>
      </c>
      <c r="M3" s="27">
        <v>19.305</v>
      </c>
      <c r="N3" s="27">
        <v>21.254000000000001</v>
      </c>
      <c r="O3" s="27">
        <v>21.657</v>
      </c>
      <c r="P3" s="27">
        <v>20.707000000000001</v>
      </c>
      <c r="Q3" s="27">
        <v>19.423999999999999</v>
      </c>
      <c r="R3" s="27">
        <v>20.274999999999999</v>
      </c>
      <c r="S3" s="27">
        <v>22.68</v>
      </c>
    </row>
    <row r="4" spans="1:19" x14ac:dyDescent="0.25">
      <c r="A4" s="25" t="s">
        <v>36</v>
      </c>
      <c r="B4" s="26">
        <v>19.739999999999998</v>
      </c>
      <c r="C4" s="26">
        <v>16.209</v>
      </c>
      <c r="D4" s="26">
        <v>16.736000000000001</v>
      </c>
      <c r="E4" s="26">
        <v>16.917000000000002</v>
      </c>
      <c r="F4" s="26">
        <v>14.895</v>
      </c>
      <c r="G4" s="26">
        <v>15.1</v>
      </c>
      <c r="H4" s="26">
        <v>15.94</v>
      </c>
      <c r="I4" s="26">
        <v>17.065000000000001</v>
      </c>
      <c r="J4" s="26">
        <v>17.018999999999998</v>
      </c>
      <c r="K4" s="26">
        <v>17.539000000000001</v>
      </c>
      <c r="L4" s="26">
        <v>17.387</v>
      </c>
      <c r="M4" s="26">
        <v>16.951000000000001</v>
      </c>
      <c r="N4" s="26">
        <v>15.61</v>
      </c>
      <c r="O4" s="26">
        <v>17.724</v>
      </c>
      <c r="P4" s="26">
        <v>17.254999999999999</v>
      </c>
      <c r="Q4" s="26">
        <v>14.895</v>
      </c>
      <c r="R4" s="26">
        <v>14.313000000000001</v>
      </c>
      <c r="S4" s="26">
        <v>15.927</v>
      </c>
    </row>
    <row r="5" spans="1:19" x14ac:dyDescent="0.25">
      <c r="A5" s="25" t="s">
        <v>11</v>
      </c>
      <c r="B5" s="27">
        <v>27.427</v>
      </c>
      <c r="C5" s="27">
        <v>24.8</v>
      </c>
      <c r="D5" s="27">
        <v>18.431999999999999</v>
      </c>
      <c r="E5" s="27">
        <v>23.148</v>
      </c>
      <c r="F5" s="27">
        <v>23.518000000000001</v>
      </c>
      <c r="G5" s="27">
        <v>21.605</v>
      </c>
      <c r="H5" s="27">
        <v>20.58</v>
      </c>
      <c r="I5" s="27">
        <v>23.045000000000002</v>
      </c>
      <c r="J5" s="27">
        <v>24.201000000000001</v>
      </c>
      <c r="K5" s="27">
        <v>24.446999999999999</v>
      </c>
      <c r="L5" s="27">
        <v>24.242000000000001</v>
      </c>
      <c r="M5" s="27">
        <v>25.35</v>
      </c>
      <c r="N5" s="27">
        <v>24.277999999999999</v>
      </c>
      <c r="O5" s="27">
        <v>25.08</v>
      </c>
      <c r="P5" s="27">
        <v>25.902000000000001</v>
      </c>
      <c r="Q5" s="27">
        <v>22.768000000000001</v>
      </c>
      <c r="R5" s="27">
        <v>24.826000000000001</v>
      </c>
      <c r="S5" s="27">
        <v>23.588000000000001</v>
      </c>
    </row>
    <row r="6" spans="1:19" x14ac:dyDescent="0.25">
      <c r="A6" s="25" t="s">
        <v>12</v>
      </c>
      <c r="B6" s="26">
        <v>15.557</v>
      </c>
      <c r="C6" s="26">
        <v>14.657999999999999</v>
      </c>
      <c r="D6" s="26">
        <v>14.138999999999999</v>
      </c>
      <c r="E6" s="26">
        <v>15.548</v>
      </c>
      <c r="F6" s="26">
        <v>14.672000000000001</v>
      </c>
      <c r="G6" s="26">
        <v>14.651999999999999</v>
      </c>
      <c r="H6" s="26">
        <v>14.66</v>
      </c>
      <c r="I6" s="26">
        <v>14.007</v>
      </c>
      <c r="J6" s="26">
        <v>14.423999999999999</v>
      </c>
      <c r="K6" s="26">
        <v>14.773</v>
      </c>
      <c r="L6" s="26">
        <v>15.045999999999999</v>
      </c>
      <c r="M6" s="26">
        <v>14.798999999999999</v>
      </c>
      <c r="N6" s="26">
        <v>13.763999999999999</v>
      </c>
      <c r="O6" s="26">
        <v>15.874000000000001</v>
      </c>
      <c r="P6" s="26">
        <v>15.843999999999999</v>
      </c>
      <c r="Q6" s="26">
        <v>14.273</v>
      </c>
      <c r="R6" s="26">
        <v>13.505000000000001</v>
      </c>
      <c r="S6" s="26">
        <v>14.699</v>
      </c>
    </row>
    <row r="7" spans="1:19" x14ac:dyDescent="0.25">
      <c r="A7" s="25" t="s">
        <v>43</v>
      </c>
      <c r="B7" s="27">
        <v>27.061</v>
      </c>
      <c r="C7" s="27">
        <v>25.597000000000001</v>
      </c>
      <c r="D7" s="27">
        <v>23.402999999999999</v>
      </c>
      <c r="E7" s="27">
        <v>25.738</v>
      </c>
      <c r="F7" s="27">
        <v>26.513999999999999</v>
      </c>
      <c r="G7" s="27">
        <v>26.471</v>
      </c>
      <c r="H7" s="27">
        <v>24.18</v>
      </c>
      <c r="I7" s="27">
        <v>26.158999999999999</v>
      </c>
      <c r="J7" s="27">
        <v>24.677</v>
      </c>
      <c r="K7" s="27">
        <v>29.285</v>
      </c>
      <c r="L7" s="27">
        <v>31.363</v>
      </c>
      <c r="M7" s="27">
        <v>28.585000000000001</v>
      </c>
      <c r="N7" s="27">
        <v>27.891999999999999</v>
      </c>
      <c r="O7" s="27">
        <v>27.076000000000001</v>
      </c>
      <c r="P7" s="27">
        <v>24.981999999999999</v>
      </c>
      <c r="Q7" s="27">
        <v>22.956</v>
      </c>
      <c r="R7" s="27">
        <v>24.847000000000001</v>
      </c>
      <c r="S7" s="27">
        <v>25.885000000000002</v>
      </c>
    </row>
    <row r="8" spans="1:19" x14ac:dyDescent="0.25">
      <c r="A8" s="25" t="s">
        <v>18</v>
      </c>
      <c r="B8" s="26">
        <v>31.506</v>
      </c>
      <c r="C8" s="26">
        <v>19.149000000000001</v>
      </c>
      <c r="D8" s="26">
        <v>15.862</v>
      </c>
      <c r="E8" s="26">
        <v>14.308999999999999</v>
      </c>
      <c r="F8" s="26">
        <v>14.92</v>
      </c>
      <c r="G8" s="26">
        <v>16.359000000000002</v>
      </c>
      <c r="H8" s="26">
        <v>15.712</v>
      </c>
      <c r="I8" s="26">
        <v>14.281000000000001</v>
      </c>
      <c r="J8" s="26">
        <v>16.364000000000001</v>
      </c>
      <c r="K8" s="26">
        <v>16.963999999999999</v>
      </c>
      <c r="L8" s="26">
        <v>17.536999999999999</v>
      </c>
      <c r="M8" s="26">
        <v>21.41</v>
      </c>
      <c r="N8" s="26">
        <v>19.29</v>
      </c>
      <c r="O8" s="26">
        <v>16.245999999999999</v>
      </c>
      <c r="P8" s="26">
        <v>17.768000000000001</v>
      </c>
      <c r="Q8" s="26">
        <v>19.032</v>
      </c>
      <c r="R8" s="26">
        <v>22.977</v>
      </c>
      <c r="S8" s="26">
        <v>23.992000000000001</v>
      </c>
    </row>
    <row r="9" spans="1:19" x14ac:dyDescent="0.25">
      <c r="A9" s="25" t="s">
        <v>41</v>
      </c>
      <c r="B9" s="27">
        <v>26.754999999999999</v>
      </c>
      <c r="C9" s="27">
        <v>23.18</v>
      </c>
      <c r="D9" s="27">
        <v>18.053999999999998</v>
      </c>
      <c r="E9" s="27">
        <v>16.116</v>
      </c>
      <c r="F9" s="27">
        <v>14.643000000000001</v>
      </c>
      <c r="G9" s="27">
        <v>13.689</v>
      </c>
      <c r="H9" s="27">
        <v>13.768000000000001</v>
      </c>
      <c r="I9" s="27">
        <v>13.227</v>
      </c>
      <c r="J9" s="27">
        <v>13.000999999999999</v>
      </c>
      <c r="K9" s="27">
        <v>12.239000000000001</v>
      </c>
      <c r="L9" s="27">
        <v>12.567</v>
      </c>
      <c r="M9" s="27">
        <v>12.491</v>
      </c>
      <c r="N9" s="27">
        <v>11.327</v>
      </c>
      <c r="O9" s="27">
        <v>11.092000000000001</v>
      </c>
      <c r="P9" s="27">
        <v>11.224</v>
      </c>
      <c r="Q9" s="27">
        <v>11.048</v>
      </c>
      <c r="R9" s="27">
        <v>11.926</v>
      </c>
      <c r="S9" s="27">
        <v>12.446</v>
      </c>
    </row>
    <row r="10" spans="1:19" x14ac:dyDescent="0.25">
      <c r="A10" s="25" t="s">
        <v>35</v>
      </c>
      <c r="B10" s="26">
        <v>20.815000000000001</v>
      </c>
      <c r="C10" s="26">
        <v>16.766999999999999</v>
      </c>
      <c r="D10" s="26">
        <v>13.81</v>
      </c>
      <c r="E10" s="26">
        <v>12.292999999999999</v>
      </c>
      <c r="F10" s="26">
        <v>9.3689999999999998</v>
      </c>
      <c r="G10" s="26">
        <v>8.8000000000000007</v>
      </c>
      <c r="H10" s="26">
        <v>9.2200000000000006</v>
      </c>
      <c r="I10" s="26">
        <v>9.5440000000000005</v>
      </c>
      <c r="J10" s="26">
        <v>9.6359999999999992</v>
      </c>
      <c r="K10" s="26">
        <v>9.9280000000000008</v>
      </c>
      <c r="L10" s="26">
        <v>10.925000000000001</v>
      </c>
      <c r="M10" s="26">
        <v>10.087999999999999</v>
      </c>
      <c r="N10" s="26">
        <v>10.054</v>
      </c>
      <c r="O10" s="26">
        <v>10.39</v>
      </c>
      <c r="P10" s="26">
        <v>10.034000000000001</v>
      </c>
      <c r="Q10" s="26">
        <v>9.3580000000000005</v>
      </c>
      <c r="R10" s="26">
        <v>10.201000000000001</v>
      </c>
      <c r="S10" s="26">
        <v>11.516</v>
      </c>
    </row>
    <row r="11" spans="1:19" x14ac:dyDescent="0.25">
      <c r="A11" s="25" t="s">
        <v>33</v>
      </c>
      <c r="B11" s="27">
        <v>17.170999999999999</v>
      </c>
      <c r="C11" s="27">
        <v>15.622999999999999</v>
      </c>
      <c r="D11" s="27">
        <v>13.914</v>
      </c>
      <c r="E11" s="27">
        <v>14.632999999999999</v>
      </c>
      <c r="F11" s="27">
        <v>13.987</v>
      </c>
      <c r="G11" s="27">
        <v>13.958</v>
      </c>
      <c r="H11" s="27">
        <v>13.711</v>
      </c>
      <c r="I11" s="27">
        <v>12.829000000000001</v>
      </c>
      <c r="J11" s="27">
        <v>13.157999999999999</v>
      </c>
      <c r="K11" s="27">
        <v>14.179</v>
      </c>
      <c r="L11" s="27">
        <v>13.866</v>
      </c>
      <c r="M11" s="27">
        <v>13.927</v>
      </c>
      <c r="N11" s="27">
        <v>12.58</v>
      </c>
      <c r="O11" s="27">
        <v>13.82</v>
      </c>
      <c r="P11" s="27">
        <v>12.901999999999999</v>
      </c>
      <c r="Q11" s="27">
        <v>12.2</v>
      </c>
      <c r="R11" s="27">
        <v>11.776</v>
      </c>
      <c r="S11" s="27">
        <v>11.925000000000001</v>
      </c>
    </row>
    <row r="12" spans="1:19" x14ac:dyDescent="0.25">
      <c r="A12" s="25" t="s">
        <v>48</v>
      </c>
      <c r="B12" s="26">
        <v>18.593</v>
      </c>
      <c r="C12" s="26">
        <v>15.414</v>
      </c>
      <c r="D12" s="26">
        <v>13.114000000000001</v>
      </c>
      <c r="E12" s="26">
        <v>13.541</v>
      </c>
      <c r="F12" s="26">
        <v>12.676</v>
      </c>
      <c r="G12" s="26">
        <v>13.031000000000001</v>
      </c>
      <c r="H12" s="26">
        <v>11.852</v>
      </c>
      <c r="I12" s="26">
        <v>12.984999999999999</v>
      </c>
      <c r="J12" s="26">
        <v>13.664</v>
      </c>
      <c r="K12" s="26">
        <v>14.544</v>
      </c>
      <c r="L12" s="26">
        <v>14.749000000000001</v>
      </c>
      <c r="M12" s="26">
        <v>15.316000000000001</v>
      </c>
      <c r="N12" s="26">
        <v>14.672000000000001</v>
      </c>
      <c r="O12" s="26">
        <v>15.5</v>
      </c>
      <c r="P12" s="26">
        <v>14.55</v>
      </c>
      <c r="Q12" s="26">
        <v>14.898999999999999</v>
      </c>
      <c r="R12" s="26">
        <v>15.509</v>
      </c>
      <c r="S12" s="26">
        <v>16.318999999999999</v>
      </c>
    </row>
    <row r="13" spans="1:19" x14ac:dyDescent="0.25">
      <c r="A13" s="25" t="s">
        <v>37</v>
      </c>
      <c r="B13" s="27">
        <v>17.811</v>
      </c>
      <c r="C13" s="27">
        <v>15.744</v>
      </c>
      <c r="D13" s="27">
        <v>14.363</v>
      </c>
      <c r="E13" s="27">
        <v>14.359</v>
      </c>
      <c r="F13" s="27">
        <v>11.941000000000001</v>
      </c>
      <c r="G13" s="27">
        <v>10.845000000000001</v>
      </c>
      <c r="H13" s="27">
        <v>10.853999999999999</v>
      </c>
      <c r="I13" s="27">
        <v>11.055</v>
      </c>
      <c r="J13" s="27">
        <v>11.192</v>
      </c>
      <c r="K13" s="27">
        <v>10.837</v>
      </c>
      <c r="L13" s="27">
        <v>10.888999999999999</v>
      </c>
      <c r="M13" s="27">
        <v>10.352</v>
      </c>
      <c r="N13" s="27">
        <v>9.4369999999999994</v>
      </c>
      <c r="O13" s="27">
        <v>10.877000000000001</v>
      </c>
      <c r="P13" s="27">
        <v>11.191000000000001</v>
      </c>
      <c r="Q13" s="27">
        <v>10.037000000000001</v>
      </c>
      <c r="R13" s="27">
        <v>10.223000000000001</v>
      </c>
      <c r="S13" s="27">
        <v>11.007</v>
      </c>
    </row>
    <row r="14" spans="1:19" x14ac:dyDescent="0.25">
      <c r="A14" s="25" t="s">
        <v>40</v>
      </c>
      <c r="B14" s="26">
        <v>41.369</v>
      </c>
      <c r="C14" s="26">
        <v>35.338999999999999</v>
      </c>
      <c r="D14" s="26">
        <v>30.803000000000001</v>
      </c>
      <c r="E14" s="26">
        <v>28.064</v>
      </c>
      <c r="F14" s="26">
        <v>20.041</v>
      </c>
      <c r="G14" s="26">
        <v>14.885999999999999</v>
      </c>
      <c r="H14" s="26">
        <v>14.691000000000001</v>
      </c>
      <c r="I14" s="26">
        <v>14.75</v>
      </c>
      <c r="J14" s="26">
        <v>16.414000000000001</v>
      </c>
      <c r="K14" s="26">
        <v>19.367999999999999</v>
      </c>
      <c r="L14" s="26">
        <v>18.606999999999999</v>
      </c>
      <c r="M14" s="26">
        <v>19.887</v>
      </c>
      <c r="N14" s="26">
        <v>19.088000000000001</v>
      </c>
      <c r="O14" s="26">
        <v>20.03</v>
      </c>
      <c r="P14" s="26">
        <v>20.085000000000001</v>
      </c>
      <c r="Q14" s="26">
        <v>21.143999999999998</v>
      </c>
      <c r="R14" s="26">
        <v>22.631</v>
      </c>
      <c r="S14" s="26">
        <v>23.651</v>
      </c>
    </row>
    <row r="15" spans="1:19" x14ac:dyDescent="0.25">
      <c r="A15" s="25" t="s">
        <v>49</v>
      </c>
      <c r="B15" s="27">
        <v>15.611000000000001</v>
      </c>
      <c r="C15" s="27">
        <v>9.1890000000000001</v>
      </c>
      <c r="D15" s="27">
        <v>10.352</v>
      </c>
      <c r="E15" s="27">
        <v>13.318</v>
      </c>
      <c r="F15" s="27">
        <v>12.888999999999999</v>
      </c>
      <c r="G15" s="27">
        <v>14.308999999999999</v>
      </c>
      <c r="H15" s="27">
        <v>14.89</v>
      </c>
      <c r="I15" s="27">
        <v>15.625</v>
      </c>
      <c r="J15" s="27">
        <v>13.586</v>
      </c>
      <c r="K15" s="27">
        <v>15.927</v>
      </c>
      <c r="L15" s="27">
        <v>16.103999999999999</v>
      </c>
      <c r="M15" s="27">
        <v>15.864000000000001</v>
      </c>
      <c r="N15" s="27">
        <v>16.074000000000002</v>
      </c>
      <c r="O15" s="27">
        <v>17.324999999999999</v>
      </c>
      <c r="P15" s="27">
        <v>17.669</v>
      </c>
      <c r="Q15" s="27">
        <v>13.964</v>
      </c>
      <c r="R15" s="27">
        <v>12.784000000000001</v>
      </c>
      <c r="S15" s="27">
        <v>12.831</v>
      </c>
    </row>
    <row r="16" spans="1:19" x14ac:dyDescent="0.25">
      <c r="A16" s="25" t="s">
        <v>46</v>
      </c>
      <c r="B16" s="26">
        <v>18.274000000000001</v>
      </c>
      <c r="C16" s="26">
        <v>12.148</v>
      </c>
      <c r="D16" s="26">
        <v>13.699</v>
      </c>
      <c r="E16" s="26">
        <v>15.93</v>
      </c>
      <c r="F16" s="26">
        <v>14.831</v>
      </c>
      <c r="G16" s="26">
        <v>17.664000000000001</v>
      </c>
      <c r="H16" s="26">
        <v>17.050999999999998</v>
      </c>
      <c r="I16" s="26">
        <v>17.635999999999999</v>
      </c>
      <c r="J16" s="26">
        <v>18.117999999999999</v>
      </c>
      <c r="K16" s="26">
        <v>20.036000000000001</v>
      </c>
      <c r="L16" s="26">
        <v>19.879000000000001</v>
      </c>
      <c r="M16" s="26">
        <v>20.504000000000001</v>
      </c>
      <c r="N16" s="26">
        <v>20.837</v>
      </c>
      <c r="O16" s="26">
        <v>23.026</v>
      </c>
      <c r="P16" s="26">
        <v>20.741</v>
      </c>
      <c r="Q16" s="26">
        <v>20.417000000000002</v>
      </c>
      <c r="R16" s="26">
        <v>20.079000000000001</v>
      </c>
      <c r="S16" s="26">
        <v>20.478000000000002</v>
      </c>
    </row>
    <row r="17" spans="1:19" x14ac:dyDescent="0.25">
      <c r="A17" s="25" t="s">
        <v>32</v>
      </c>
      <c r="B17" s="27">
        <v>40.003999999999998</v>
      </c>
      <c r="C17" s="27">
        <v>32.012</v>
      </c>
      <c r="D17" s="27">
        <v>30.675999999999998</v>
      </c>
      <c r="E17" s="27">
        <v>33.942999999999998</v>
      </c>
      <c r="F17" s="27">
        <v>30.199000000000002</v>
      </c>
      <c r="G17" s="27">
        <v>29.616</v>
      </c>
      <c r="H17" s="27">
        <v>28.882000000000001</v>
      </c>
      <c r="I17" s="27">
        <v>30.556000000000001</v>
      </c>
      <c r="J17" s="27">
        <v>26.59</v>
      </c>
      <c r="K17" s="27">
        <v>27.914000000000001</v>
      </c>
      <c r="L17" s="27">
        <v>24.300999999999998</v>
      </c>
      <c r="M17" s="27">
        <v>23.765000000000001</v>
      </c>
      <c r="N17" s="27">
        <v>24.36</v>
      </c>
      <c r="O17" s="27">
        <v>24.216999999999999</v>
      </c>
      <c r="P17" s="27">
        <v>25.486000000000001</v>
      </c>
      <c r="Q17" s="27">
        <v>22.154</v>
      </c>
      <c r="R17" s="27">
        <v>22.145</v>
      </c>
      <c r="S17" s="27">
        <v>22.276</v>
      </c>
    </row>
    <row r="18" spans="1:19" x14ac:dyDescent="0.25">
      <c r="A18" s="25" t="s">
        <v>53</v>
      </c>
      <c r="B18" s="26">
        <v>12.507</v>
      </c>
      <c r="C18" s="26">
        <v>10.904</v>
      </c>
      <c r="D18" s="26">
        <v>9.2129999999999992</v>
      </c>
      <c r="E18" s="26">
        <v>8.782</v>
      </c>
      <c r="F18" s="26">
        <v>7.7030000000000003</v>
      </c>
      <c r="G18" s="26">
        <v>9.0839999999999996</v>
      </c>
      <c r="H18" s="26">
        <v>12.324999999999999</v>
      </c>
      <c r="I18" s="26">
        <v>12.465</v>
      </c>
      <c r="J18" s="26">
        <v>12.348000000000001</v>
      </c>
      <c r="K18" s="26">
        <v>13.773999999999999</v>
      </c>
      <c r="L18" s="26">
        <v>15.488</v>
      </c>
      <c r="M18" s="26">
        <v>16.231999999999999</v>
      </c>
      <c r="N18" s="28">
        <v>14</v>
      </c>
      <c r="O18" s="26">
        <v>14.166</v>
      </c>
      <c r="P18" s="26">
        <v>14.625</v>
      </c>
      <c r="Q18" s="26">
        <v>14.755000000000001</v>
      </c>
      <c r="R18" s="26">
        <v>13.426</v>
      </c>
      <c r="S18" s="26">
        <v>13.118</v>
      </c>
    </row>
    <row r="19" spans="1:19" x14ac:dyDescent="0.25">
      <c r="A19" s="25" t="s">
        <v>31</v>
      </c>
      <c r="B19" s="27">
        <v>15.831</v>
      </c>
      <c r="C19" s="27">
        <v>14.364000000000001</v>
      </c>
      <c r="D19" s="27">
        <v>12.305999999999999</v>
      </c>
      <c r="E19" s="27">
        <v>11.413</v>
      </c>
      <c r="F19" s="27">
        <v>9.7569999999999997</v>
      </c>
      <c r="G19" s="27">
        <v>10.765000000000001</v>
      </c>
      <c r="H19" s="27">
        <v>9.8699999999999992</v>
      </c>
      <c r="I19" s="27">
        <v>12.233000000000001</v>
      </c>
      <c r="J19" s="27">
        <v>10.726000000000001</v>
      </c>
      <c r="K19" s="27">
        <v>11.89</v>
      </c>
      <c r="L19" s="27">
        <v>11.031000000000001</v>
      </c>
      <c r="M19" s="27">
        <v>12.304</v>
      </c>
      <c r="N19" s="27">
        <v>12.336</v>
      </c>
      <c r="O19" s="27">
        <v>11.311999999999999</v>
      </c>
      <c r="P19" s="27">
        <v>11.397</v>
      </c>
      <c r="Q19" s="27">
        <v>9.7690000000000001</v>
      </c>
      <c r="R19" s="27">
        <v>10.339</v>
      </c>
      <c r="S19" s="27">
        <v>9.4700000000000006</v>
      </c>
    </row>
    <row r="20" spans="1:19" x14ac:dyDescent="0.25">
      <c r="A20" s="25" t="s">
        <v>16</v>
      </c>
      <c r="B20" s="26">
        <v>12.641999999999999</v>
      </c>
      <c r="C20" s="26">
        <v>10.948</v>
      </c>
      <c r="D20" s="26">
        <v>9.6579999999999995</v>
      </c>
      <c r="E20" s="26">
        <v>10.353999999999999</v>
      </c>
      <c r="F20" s="26">
        <v>8.4559999999999995</v>
      </c>
      <c r="G20" s="26">
        <v>7.5389999999999997</v>
      </c>
      <c r="H20" s="26">
        <v>8.2669999999999995</v>
      </c>
      <c r="I20" s="26">
        <v>8.8680000000000003</v>
      </c>
      <c r="J20" s="26">
        <v>8.6579999999999995</v>
      </c>
      <c r="K20" s="26">
        <v>7.6660000000000004</v>
      </c>
      <c r="L20" s="26">
        <v>8.8130000000000006</v>
      </c>
      <c r="M20" s="26">
        <v>9.4870000000000001</v>
      </c>
      <c r="N20" s="26">
        <v>9.4719999999999995</v>
      </c>
      <c r="O20" s="26">
        <v>8.8670000000000009</v>
      </c>
      <c r="P20" s="28">
        <v>9</v>
      </c>
      <c r="Q20" s="26">
        <v>7.8650000000000002</v>
      </c>
      <c r="R20" s="26">
        <v>8.5860000000000003</v>
      </c>
      <c r="S20" s="26">
        <v>7.9059999999999997</v>
      </c>
    </row>
    <row r="21" spans="1:19" x14ac:dyDescent="0.25">
      <c r="A21" s="25" t="s">
        <v>29</v>
      </c>
      <c r="B21" s="27">
        <v>27.207999999999998</v>
      </c>
      <c r="C21" s="27">
        <v>23.978000000000002</v>
      </c>
      <c r="D21" s="27">
        <v>24.076000000000001</v>
      </c>
      <c r="E21" s="27">
        <v>25.966000000000001</v>
      </c>
      <c r="F21" s="27">
        <v>25.132999999999999</v>
      </c>
      <c r="G21" s="27">
        <v>23.843</v>
      </c>
      <c r="H21" s="27">
        <v>24.082000000000001</v>
      </c>
      <c r="I21" s="27">
        <v>22.989000000000001</v>
      </c>
      <c r="J21" s="27">
        <v>24.239000000000001</v>
      </c>
      <c r="K21" s="27">
        <v>23.504999999999999</v>
      </c>
      <c r="L21" s="27">
        <v>22.739000000000001</v>
      </c>
      <c r="M21" s="27">
        <v>21.812999999999999</v>
      </c>
      <c r="N21" s="27">
        <v>21.878</v>
      </c>
      <c r="O21" s="27">
        <v>24.558</v>
      </c>
      <c r="P21" s="27">
        <v>24.334</v>
      </c>
      <c r="Q21" s="29">
        <v>21</v>
      </c>
      <c r="R21" s="27">
        <v>19.523</v>
      </c>
      <c r="S21" s="27">
        <v>19.216999999999999</v>
      </c>
    </row>
    <row r="22" spans="1:19" x14ac:dyDescent="0.25">
      <c r="A22" s="25" t="s">
        <v>42</v>
      </c>
      <c r="B22" s="26">
        <v>15.406000000000001</v>
      </c>
      <c r="C22" s="26">
        <v>15.032</v>
      </c>
      <c r="D22" s="26">
        <v>15.279</v>
      </c>
      <c r="E22" s="26">
        <v>18.965</v>
      </c>
      <c r="F22" s="26">
        <v>15.984999999999999</v>
      </c>
      <c r="G22" s="26">
        <v>15.038</v>
      </c>
      <c r="H22" s="26">
        <v>15.254</v>
      </c>
      <c r="I22" s="26">
        <v>15.186999999999999</v>
      </c>
      <c r="J22" s="26">
        <v>15.378</v>
      </c>
      <c r="K22" s="26">
        <v>16.748999999999999</v>
      </c>
      <c r="L22" s="26">
        <v>17.154</v>
      </c>
      <c r="M22" s="26">
        <v>16.234000000000002</v>
      </c>
      <c r="N22" s="26">
        <v>16.222999999999999</v>
      </c>
      <c r="O22" s="26">
        <v>16.742000000000001</v>
      </c>
      <c r="P22" s="26">
        <v>16.274000000000001</v>
      </c>
      <c r="Q22" s="26">
        <v>15.334</v>
      </c>
      <c r="R22" s="26">
        <v>16.114999999999998</v>
      </c>
      <c r="S22" s="26">
        <v>16.693999999999999</v>
      </c>
    </row>
    <row r="23" spans="1:19" x14ac:dyDescent="0.25">
      <c r="A23" s="25" t="s">
        <v>47</v>
      </c>
      <c r="B23" s="27">
        <v>25.257000000000001</v>
      </c>
      <c r="C23" s="27">
        <v>22.370999999999999</v>
      </c>
      <c r="D23" s="27">
        <v>19.834</v>
      </c>
      <c r="E23" s="27">
        <v>18.113</v>
      </c>
      <c r="F23" s="27">
        <v>15.832000000000001</v>
      </c>
      <c r="G23" s="27">
        <v>14.253</v>
      </c>
      <c r="H23" s="27">
        <v>15.5</v>
      </c>
      <c r="I23" s="27">
        <v>16.157</v>
      </c>
      <c r="J23" s="27">
        <v>15.983000000000001</v>
      </c>
      <c r="K23" s="27">
        <v>17.678999999999998</v>
      </c>
      <c r="L23" s="27">
        <v>17.231000000000002</v>
      </c>
      <c r="M23" s="27">
        <v>17.446000000000002</v>
      </c>
      <c r="N23" s="27">
        <v>14.968999999999999</v>
      </c>
      <c r="O23" s="27">
        <v>17.922999999999998</v>
      </c>
      <c r="P23" s="27">
        <v>15.603999999999999</v>
      </c>
      <c r="Q23" s="27">
        <v>15.18</v>
      </c>
      <c r="R23" s="27">
        <v>14.162000000000001</v>
      </c>
      <c r="S23" s="27">
        <v>14.462</v>
      </c>
    </row>
    <row r="24" spans="1:19" x14ac:dyDescent="0.25">
      <c r="A24" s="25" t="s">
        <v>63</v>
      </c>
      <c r="B24" s="26">
        <v>23.029</v>
      </c>
      <c r="C24" s="26">
        <v>17.984000000000002</v>
      </c>
      <c r="D24" s="26">
        <v>13.881</v>
      </c>
      <c r="E24" s="26">
        <v>19.302</v>
      </c>
      <c r="F24" s="26">
        <v>17.977</v>
      </c>
      <c r="G24" s="26">
        <v>17.821000000000002</v>
      </c>
      <c r="H24" s="26">
        <v>18.664999999999999</v>
      </c>
      <c r="I24" s="26">
        <v>22.434999999999999</v>
      </c>
      <c r="J24" s="26">
        <v>23.091000000000001</v>
      </c>
      <c r="K24" s="26">
        <v>21.527000000000001</v>
      </c>
      <c r="L24" s="26">
        <v>23.327999999999999</v>
      </c>
      <c r="M24" s="26">
        <v>27.844999999999999</v>
      </c>
      <c r="N24" s="26">
        <v>29.236999999999998</v>
      </c>
      <c r="O24" s="26">
        <v>30.222000000000001</v>
      </c>
      <c r="P24" s="26">
        <v>29.934999999999999</v>
      </c>
      <c r="Q24" s="26">
        <v>28.347999999999999</v>
      </c>
      <c r="R24" s="26">
        <v>29.655999999999999</v>
      </c>
      <c r="S24" s="26">
        <v>31.134</v>
      </c>
    </row>
    <row r="25" spans="1:19" x14ac:dyDescent="0.25">
      <c r="A25" s="25" t="s">
        <v>28</v>
      </c>
      <c r="B25" s="27">
        <v>24.661000000000001</v>
      </c>
      <c r="C25" s="27">
        <v>21.044</v>
      </c>
      <c r="D25" s="27">
        <v>18.812000000000001</v>
      </c>
      <c r="E25" s="27">
        <v>17.914000000000001</v>
      </c>
      <c r="F25" s="27">
        <v>15.657</v>
      </c>
      <c r="G25" s="27">
        <v>15.795</v>
      </c>
      <c r="H25" s="27">
        <v>16.696999999999999</v>
      </c>
      <c r="I25" s="27">
        <v>15.891999999999999</v>
      </c>
      <c r="J25" s="27">
        <v>15.731</v>
      </c>
      <c r="K25" s="27">
        <v>16.081</v>
      </c>
      <c r="L25" s="27">
        <v>17.605</v>
      </c>
      <c r="M25" s="27">
        <v>16.312000000000001</v>
      </c>
      <c r="N25" s="27">
        <v>14.742000000000001</v>
      </c>
      <c r="O25" s="27">
        <v>17.725000000000001</v>
      </c>
      <c r="P25" s="27">
        <v>18.256</v>
      </c>
      <c r="Q25" s="27">
        <v>17.041</v>
      </c>
      <c r="R25" s="27">
        <v>14.706</v>
      </c>
      <c r="S25" s="27">
        <v>16.963000000000001</v>
      </c>
    </row>
    <row r="26" spans="1:19" x14ac:dyDescent="0.25">
      <c r="A26" s="25" t="s">
        <v>51</v>
      </c>
      <c r="B26" s="26">
        <v>19.143000000000001</v>
      </c>
      <c r="C26" s="26">
        <v>14.938000000000001</v>
      </c>
      <c r="D26" s="26">
        <v>14.180999999999999</v>
      </c>
      <c r="E26" s="26">
        <v>14.154</v>
      </c>
      <c r="F26" s="26">
        <v>11.968999999999999</v>
      </c>
      <c r="G26" s="26">
        <v>12.01</v>
      </c>
      <c r="H26" s="26">
        <v>13.680999999999999</v>
      </c>
      <c r="I26" s="26">
        <v>14.414</v>
      </c>
      <c r="J26" s="26">
        <v>14.727</v>
      </c>
      <c r="K26" s="26">
        <v>15.048</v>
      </c>
      <c r="L26" s="26">
        <v>14.731999999999999</v>
      </c>
      <c r="M26" s="26">
        <v>13.827</v>
      </c>
      <c r="N26" s="26">
        <v>12.862</v>
      </c>
      <c r="O26" s="26">
        <v>12.875</v>
      </c>
      <c r="P26" s="26">
        <v>15.323</v>
      </c>
      <c r="Q26" s="26">
        <v>15.353999999999999</v>
      </c>
      <c r="R26" s="26">
        <v>14.266999999999999</v>
      </c>
      <c r="S26" s="26">
        <v>14.711</v>
      </c>
    </row>
    <row r="27" spans="1:19" x14ac:dyDescent="0.25">
      <c r="A27" s="25" t="s">
        <v>19</v>
      </c>
      <c r="B27" s="27">
        <v>47.655000000000001</v>
      </c>
      <c r="C27" s="27">
        <v>36.631</v>
      </c>
      <c r="D27" s="27">
        <v>46.215000000000003</v>
      </c>
      <c r="E27" s="27">
        <v>48.923999999999999</v>
      </c>
      <c r="F27" s="27">
        <v>46.363999999999997</v>
      </c>
      <c r="G27" s="27">
        <v>46.45</v>
      </c>
      <c r="H27" s="27">
        <v>45.427</v>
      </c>
      <c r="I27" s="27">
        <v>39.396000000000001</v>
      </c>
      <c r="J27" s="27">
        <v>43.051000000000002</v>
      </c>
      <c r="K27" s="27">
        <v>43.058999999999997</v>
      </c>
      <c r="L27" s="27">
        <v>43.905000000000001</v>
      </c>
      <c r="M27" s="27">
        <v>39.856000000000002</v>
      </c>
      <c r="N27" s="27">
        <v>44.609000000000002</v>
      </c>
      <c r="O27" s="27">
        <v>43.488999999999997</v>
      </c>
      <c r="P27" s="27">
        <v>46.353000000000002</v>
      </c>
      <c r="Q27" s="27">
        <v>38.216999999999999</v>
      </c>
      <c r="R27" s="27">
        <v>37.325000000000003</v>
      </c>
      <c r="S27" s="27">
        <v>37.305</v>
      </c>
    </row>
    <row r="28" spans="1:19" x14ac:dyDescent="0.25">
      <c r="A28" s="25" t="s">
        <v>13</v>
      </c>
      <c r="B28" s="26">
        <v>24.324999999999999</v>
      </c>
      <c r="C28" s="26">
        <v>21.635999999999999</v>
      </c>
      <c r="D28" s="26">
        <v>23.411000000000001</v>
      </c>
      <c r="E28" s="26">
        <v>25.835999999999999</v>
      </c>
      <c r="F28" s="26">
        <v>25.425000000000001</v>
      </c>
      <c r="G28" s="26">
        <v>26.64</v>
      </c>
      <c r="H28" s="26">
        <v>26.524999999999999</v>
      </c>
      <c r="I28" s="26">
        <v>25.010999999999999</v>
      </c>
      <c r="J28" s="26">
        <v>25.375</v>
      </c>
      <c r="K28" s="26">
        <v>25.539000000000001</v>
      </c>
      <c r="L28" s="26">
        <v>26.09</v>
      </c>
      <c r="M28" s="26">
        <v>26.02</v>
      </c>
      <c r="N28" s="26">
        <v>24.673999999999999</v>
      </c>
      <c r="O28" s="26">
        <v>25.384</v>
      </c>
      <c r="P28" s="26">
        <v>24.97</v>
      </c>
      <c r="Q28" s="26">
        <v>22.265000000000001</v>
      </c>
      <c r="R28" s="26">
        <v>22.698</v>
      </c>
      <c r="S28" s="26">
        <v>22.616</v>
      </c>
    </row>
    <row r="29" spans="1:19" x14ac:dyDescent="0.25">
      <c r="A29" s="25" t="s">
        <v>8</v>
      </c>
      <c r="B29" s="29" t="s">
        <v>560</v>
      </c>
      <c r="C29" s="29" t="s">
        <v>560</v>
      </c>
      <c r="D29" s="29" t="s">
        <v>560</v>
      </c>
      <c r="E29" s="29" t="s">
        <v>560</v>
      </c>
      <c r="F29" s="29" t="s">
        <v>560</v>
      </c>
      <c r="G29" s="29" t="s">
        <v>560</v>
      </c>
      <c r="H29" s="29" t="s">
        <v>560</v>
      </c>
      <c r="I29" s="29" t="s">
        <v>560</v>
      </c>
      <c r="J29" s="29" t="s">
        <v>560</v>
      </c>
      <c r="K29" s="29" t="s">
        <v>560</v>
      </c>
      <c r="L29" s="29" t="s">
        <v>560</v>
      </c>
      <c r="M29" s="29" t="s">
        <v>560</v>
      </c>
      <c r="N29" s="29" t="s">
        <v>560</v>
      </c>
      <c r="O29" s="29" t="s">
        <v>560</v>
      </c>
      <c r="P29" s="29" t="s">
        <v>560</v>
      </c>
      <c r="Q29" s="29" t="s">
        <v>560</v>
      </c>
      <c r="R29" s="29" t="s">
        <v>560</v>
      </c>
      <c r="S29" s="29" t="s">
        <v>560</v>
      </c>
    </row>
    <row r="30" spans="1:19" x14ac:dyDescent="0.25">
      <c r="A30" s="25" t="s">
        <v>24</v>
      </c>
      <c r="B30" s="28" t="s">
        <v>560</v>
      </c>
      <c r="C30" s="28" t="s">
        <v>560</v>
      </c>
      <c r="D30" s="28" t="s">
        <v>560</v>
      </c>
      <c r="E30" s="28" t="s">
        <v>560</v>
      </c>
      <c r="F30" s="28" t="s">
        <v>560</v>
      </c>
      <c r="G30" s="28" t="s">
        <v>560</v>
      </c>
      <c r="H30" s="28" t="s">
        <v>560</v>
      </c>
      <c r="I30" s="28" t="s">
        <v>560</v>
      </c>
      <c r="J30" s="28" t="s">
        <v>560</v>
      </c>
      <c r="K30" s="28" t="s">
        <v>560</v>
      </c>
      <c r="L30" s="28" t="s">
        <v>560</v>
      </c>
      <c r="M30" s="28" t="s">
        <v>560</v>
      </c>
      <c r="N30" s="28" t="s">
        <v>560</v>
      </c>
      <c r="O30" s="28" t="s">
        <v>560</v>
      </c>
      <c r="P30" s="28" t="s">
        <v>560</v>
      </c>
      <c r="Q30" s="28" t="s">
        <v>560</v>
      </c>
      <c r="R30" s="28" t="s">
        <v>560</v>
      </c>
      <c r="S30" s="28" t="s">
        <v>560</v>
      </c>
    </row>
    <row r="31" spans="1:19" x14ac:dyDescent="0.25">
      <c r="A31" s="25" t="s">
        <v>9</v>
      </c>
      <c r="B31" s="27">
        <v>39.826999999999998</v>
      </c>
      <c r="C31" s="27">
        <v>37.265999999999998</v>
      </c>
      <c r="D31" s="27">
        <v>33.146999999999998</v>
      </c>
      <c r="E31" s="27">
        <v>33.356999999999999</v>
      </c>
      <c r="F31" s="27">
        <v>36.500999999999998</v>
      </c>
      <c r="G31" s="27">
        <v>37.113999999999997</v>
      </c>
      <c r="H31" s="27">
        <v>37.68</v>
      </c>
      <c r="I31" s="27">
        <v>44.889000000000003</v>
      </c>
      <c r="J31" s="27">
        <v>41.92</v>
      </c>
      <c r="K31" s="27">
        <v>37.198999999999998</v>
      </c>
      <c r="L31" s="27">
        <v>39.287999999999997</v>
      </c>
      <c r="M31" s="27">
        <v>37.805999999999997</v>
      </c>
      <c r="N31" s="27">
        <v>35.061</v>
      </c>
      <c r="O31" s="27">
        <v>36.018999999999998</v>
      </c>
      <c r="P31" s="27">
        <v>37.268999999999998</v>
      </c>
      <c r="Q31" s="27">
        <v>34.055</v>
      </c>
      <c r="R31" s="29" t="s">
        <v>560</v>
      </c>
      <c r="S31" s="29" t="s">
        <v>560</v>
      </c>
    </row>
    <row r="32" spans="1:19" x14ac:dyDescent="0.25">
      <c r="A32" s="25" t="s">
        <v>10</v>
      </c>
      <c r="B32" s="26">
        <v>20.904</v>
      </c>
      <c r="C32" s="26">
        <v>20.779</v>
      </c>
      <c r="D32" s="26">
        <v>18.483000000000001</v>
      </c>
      <c r="E32" s="26">
        <v>19.431999999999999</v>
      </c>
      <c r="F32" s="26">
        <v>18.620999999999999</v>
      </c>
      <c r="G32" s="26">
        <v>18.838000000000001</v>
      </c>
      <c r="H32" s="26">
        <v>18.138999999999999</v>
      </c>
      <c r="I32" s="26">
        <v>18.358000000000001</v>
      </c>
      <c r="J32" s="26">
        <v>19.044</v>
      </c>
      <c r="K32" s="26">
        <v>18.434000000000001</v>
      </c>
      <c r="L32" s="26">
        <v>17.196000000000002</v>
      </c>
      <c r="M32" s="26">
        <v>16.809000000000001</v>
      </c>
      <c r="N32" s="26">
        <v>16.004000000000001</v>
      </c>
      <c r="O32" s="26">
        <v>15.500999999999999</v>
      </c>
      <c r="P32" s="26">
        <v>14.712</v>
      </c>
      <c r="Q32" s="26">
        <v>14.127000000000001</v>
      </c>
      <c r="R32" s="26">
        <v>14.009</v>
      </c>
      <c r="S32" s="26">
        <v>13.928000000000001</v>
      </c>
    </row>
    <row r="33" spans="1:19" x14ac:dyDescent="0.25">
      <c r="A33" s="25" t="s">
        <v>21</v>
      </c>
      <c r="B33" s="29" t="s">
        <v>560</v>
      </c>
      <c r="C33" s="29" t="s">
        <v>560</v>
      </c>
      <c r="D33" s="29" t="s">
        <v>560</v>
      </c>
      <c r="E33" s="29" t="s">
        <v>560</v>
      </c>
      <c r="F33" s="29" t="s">
        <v>560</v>
      </c>
      <c r="G33" s="29" t="s">
        <v>560</v>
      </c>
      <c r="H33" s="29" t="s">
        <v>560</v>
      </c>
      <c r="I33" s="29" t="s">
        <v>560</v>
      </c>
      <c r="J33" s="29" t="s">
        <v>560</v>
      </c>
      <c r="K33" s="29" t="s">
        <v>560</v>
      </c>
      <c r="L33" s="29" t="s">
        <v>560</v>
      </c>
      <c r="M33" s="29" t="s">
        <v>560</v>
      </c>
      <c r="N33" s="29" t="s">
        <v>560</v>
      </c>
      <c r="O33" s="29" t="s">
        <v>560</v>
      </c>
      <c r="P33" s="29" t="s">
        <v>560</v>
      </c>
      <c r="Q33" s="29" t="s">
        <v>560</v>
      </c>
      <c r="R33" s="29" t="s">
        <v>560</v>
      </c>
      <c r="S33" s="29" t="s">
        <v>560</v>
      </c>
    </row>
    <row r="34" spans="1:19" x14ac:dyDescent="0.25">
      <c r="A34" s="25" t="s">
        <v>55</v>
      </c>
      <c r="B34" s="28" t="s">
        <v>560</v>
      </c>
      <c r="C34" s="28" t="s">
        <v>560</v>
      </c>
      <c r="D34" s="28" t="s">
        <v>560</v>
      </c>
      <c r="E34" s="28" t="s">
        <v>560</v>
      </c>
      <c r="F34" s="28" t="s">
        <v>560</v>
      </c>
      <c r="G34" s="28" t="s">
        <v>560</v>
      </c>
      <c r="H34" s="28" t="s">
        <v>560</v>
      </c>
      <c r="I34" s="28" t="s">
        <v>560</v>
      </c>
      <c r="J34" s="28" t="s">
        <v>560</v>
      </c>
      <c r="K34" s="28" t="s">
        <v>560</v>
      </c>
      <c r="L34" s="28" t="s">
        <v>560</v>
      </c>
      <c r="M34" s="28" t="s">
        <v>560</v>
      </c>
      <c r="N34" s="28" t="s">
        <v>560</v>
      </c>
      <c r="O34" s="28" t="s">
        <v>560</v>
      </c>
      <c r="P34" s="28" t="s">
        <v>560</v>
      </c>
      <c r="Q34" s="28" t="s">
        <v>560</v>
      </c>
      <c r="R34" s="28" t="s">
        <v>560</v>
      </c>
      <c r="S34" s="28" t="s">
        <v>560</v>
      </c>
    </row>
    <row r="35" spans="1:19" x14ac:dyDescent="0.25">
      <c r="A35" s="25" t="s">
        <v>75</v>
      </c>
      <c r="B35" s="29" t="s">
        <v>560</v>
      </c>
      <c r="C35" s="29" t="s">
        <v>560</v>
      </c>
      <c r="D35" s="29" t="s">
        <v>560</v>
      </c>
      <c r="E35" s="29" t="s">
        <v>560</v>
      </c>
      <c r="F35" s="29" t="s">
        <v>560</v>
      </c>
      <c r="G35" s="29" t="s">
        <v>560</v>
      </c>
      <c r="H35" s="29" t="s">
        <v>560</v>
      </c>
      <c r="I35" s="29" t="s">
        <v>560</v>
      </c>
      <c r="J35" s="29" t="s">
        <v>560</v>
      </c>
      <c r="K35" s="29" t="s">
        <v>560</v>
      </c>
      <c r="L35" s="29" t="s">
        <v>560</v>
      </c>
      <c r="M35" s="29" t="s">
        <v>560</v>
      </c>
      <c r="N35" s="29" t="s">
        <v>560</v>
      </c>
      <c r="O35" s="29" t="s">
        <v>560</v>
      </c>
      <c r="P35" s="29" t="s">
        <v>560</v>
      </c>
      <c r="Q35" s="29" t="s">
        <v>560</v>
      </c>
      <c r="R35" s="29" t="s">
        <v>560</v>
      </c>
      <c r="S35" s="29" t="s">
        <v>560</v>
      </c>
    </row>
    <row r="36" spans="1:19" x14ac:dyDescent="0.25">
      <c r="A36" s="25" t="s">
        <v>78</v>
      </c>
      <c r="B36" s="28" t="s">
        <v>560</v>
      </c>
      <c r="C36" s="28" t="s">
        <v>560</v>
      </c>
      <c r="D36" s="28" t="s">
        <v>560</v>
      </c>
      <c r="E36" s="28" t="s">
        <v>560</v>
      </c>
      <c r="F36" s="28" t="s">
        <v>560</v>
      </c>
      <c r="G36" s="28" t="s">
        <v>560</v>
      </c>
      <c r="H36" s="28" t="s">
        <v>560</v>
      </c>
      <c r="I36" s="28" t="s">
        <v>560</v>
      </c>
      <c r="J36" s="28" t="s">
        <v>560</v>
      </c>
      <c r="K36" s="28" t="s">
        <v>560</v>
      </c>
      <c r="L36" s="28" t="s">
        <v>560</v>
      </c>
      <c r="M36" s="28" t="s">
        <v>560</v>
      </c>
      <c r="N36" s="28" t="s">
        <v>560</v>
      </c>
      <c r="O36" s="28" t="s">
        <v>560</v>
      </c>
      <c r="P36" s="28" t="s">
        <v>560</v>
      </c>
      <c r="Q36" s="28" t="s">
        <v>560</v>
      </c>
      <c r="R36" s="28" t="s">
        <v>560</v>
      </c>
      <c r="S36" s="28" t="s">
        <v>560</v>
      </c>
    </row>
    <row r="37" spans="1:19" x14ac:dyDescent="0.25">
      <c r="A37" s="25" t="s">
        <v>70</v>
      </c>
      <c r="B37" s="27">
        <v>16.088999999999999</v>
      </c>
      <c r="C37" s="27">
        <v>15.347</v>
      </c>
      <c r="D37" s="27">
        <v>14.896000000000001</v>
      </c>
      <c r="E37" s="27">
        <v>15.327999999999999</v>
      </c>
      <c r="F37" s="27">
        <v>14.212999999999999</v>
      </c>
      <c r="G37" s="27">
        <v>14.787000000000001</v>
      </c>
      <c r="H37" s="27">
        <v>14.43</v>
      </c>
      <c r="I37" s="27">
        <v>15.097</v>
      </c>
      <c r="J37" s="27">
        <v>17.533000000000001</v>
      </c>
      <c r="K37" s="27">
        <v>16.690999999999999</v>
      </c>
      <c r="L37" s="27">
        <v>18.103999999999999</v>
      </c>
      <c r="M37" s="27">
        <v>20.311</v>
      </c>
      <c r="N37" s="27">
        <v>18.606000000000002</v>
      </c>
      <c r="O37" s="27">
        <v>18.376000000000001</v>
      </c>
      <c r="P37" s="27">
        <v>19.721</v>
      </c>
      <c r="Q37" s="27">
        <v>21.582000000000001</v>
      </c>
      <c r="R37" s="29" t="s">
        <v>560</v>
      </c>
      <c r="S37" s="29" t="s">
        <v>560</v>
      </c>
    </row>
    <row r="38" spans="1:19" x14ac:dyDescent="0.25">
      <c r="A38" s="25" t="s">
        <v>58</v>
      </c>
      <c r="B38" s="28" t="s">
        <v>560</v>
      </c>
      <c r="C38" s="28" t="s">
        <v>560</v>
      </c>
      <c r="D38" s="28" t="s">
        <v>560</v>
      </c>
      <c r="E38" s="28" t="s">
        <v>560</v>
      </c>
      <c r="F38" s="28" t="s">
        <v>560</v>
      </c>
      <c r="G38" s="28" t="s">
        <v>560</v>
      </c>
      <c r="H38" s="28" t="s">
        <v>560</v>
      </c>
      <c r="I38" s="28" t="s">
        <v>560</v>
      </c>
      <c r="J38" s="28" t="s">
        <v>560</v>
      </c>
      <c r="K38" s="28" t="s">
        <v>560</v>
      </c>
      <c r="L38" s="28" t="s">
        <v>560</v>
      </c>
      <c r="M38" s="28" t="s">
        <v>560</v>
      </c>
      <c r="N38" s="28" t="s">
        <v>560</v>
      </c>
      <c r="O38" s="28" t="s">
        <v>560</v>
      </c>
      <c r="P38" s="28" t="s">
        <v>560</v>
      </c>
      <c r="Q38" s="28" t="s">
        <v>560</v>
      </c>
      <c r="R38" s="28" t="s">
        <v>560</v>
      </c>
      <c r="S38" s="28" t="s">
        <v>560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57860-CD04-457D-87E1-7B4E0389853A}">
  <sheetPr>
    <tabColor theme="7"/>
  </sheetPr>
  <dimension ref="A1:K157"/>
  <sheetViews>
    <sheetView workbookViewId="0">
      <selection activeCell="H1" activeCellId="2" sqref="A1:A1048576 C1:C1048576 H1:H1048576"/>
    </sheetView>
  </sheetViews>
  <sheetFormatPr defaultRowHeight="15" x14ac:dyDescent="0.25"/>
  <cols>
    <col min="1" max="3" width="14.42578125" customWidth="1"/>
  </cols>
  <sheetData>
    <row r="1" spans="1:11" x14ac:dyDescent="0.25">
      <c r="A1" s="16" t="s">
        <v>1</v>
      </c>
      <c r="B1" s="16" t="s">
        <v>533</v>
      </c>
      <c r="C1" s="16" t="s">
        <v>561</v>
      </c>
      <c r="D1" s="17" t="s">
        <v>538</v>
      </c>
      <c r="E1" s="17" t="s">
        <v>539</v>
      </c>
      <c r="F1" s="17" t="s">
        <v>540</v>
      </c>
      <c r="G1" s="17" t="s">
        <v>541</v>
      </c>
      <c r="H1" s="17" t="s">
        <v>534</v>
      </c>
      <c r="I1" s="19" t="s">
        <v>535</v>
      </c>
      <c r="J1" s="19" t="s">
        <v>536</v>
      </c>
      <c r="K1" s="1" t="s">
        <v>208</v>
      </c>
    </row>
    <row r="2" spans="1:11" x14ac:dyDescent="0.25">
      <c r="A2" s="12" t="s">
        <v>191</v>
      </c>
      <c r="B2" t="s">
        <v>191</v>
      </c>
      <c r="C2" t="str">
        <f>_xlfn.XLOOKUP(Table33[[#This Row],[UN Country Name]],Table1[country_name],Table1[country_ISO3],"check")</f>
        <v>AFG</v>
      </c>
      <c r="D2" s="13">
        <v>1.0006791975838745</v>
      </c>
      <c r="E2" s="13">
        <v>0.13628918725937647</v>
      </c>
      <c r="F2" s="13">
        <v>2.8869274486911047E-2</v>
      </c>
      <c r="G2" s="13">
        <v>0.10321938593359514</v>
      </c>
      <c r="H2" s="18">
        <v>1.2690570452637571</v>
      </c>
      <c r="I2" s="18">
        <v>0.496</v>
      </c>
      <c r="J2">
        <v>0.81878696797475803</v>
      </c>
      <c r="K2">
        <v>41454.800000000003</v>
      </c>
    </row>
    <row r="3" spans="1:11" x14ac:dyDescent="0.25">
      <c r="A3" s="12" t="s">
        <v>78</v>
      </c>
      <c r="B3" s="21" t="s">
        <v>78</v>
      </c>
      <c r="C3" s="12" t="str">
        <f>_xlfn.XLOOKUP(Table33[[#This Row],[UN Country Name]],Table1[country_name],Table1[country_ISO3],"check")</f>
        <v>ALB</v>
      </c>
      <c r="D3" s="13">
        <v>3.7043643257008316</v>
      </c>
      <c r="E3" s="13">
        <v>1.3103718088246801</v>
      </c>
      <c r="F3" s="13">
        <v>0.98012384143175202</v>
      </c>
      <c r="G3" s="13">
        <v>4.1162640575318497</v>
      </c>
      <c r="H3" s="18">
        <v>10.111124033489114</v>
      </c>
      <c r="I3" s="18">
        <v>0.81</v>
      </c>
      <c r="J3">
        <v>2.2649481089463164</v>
      </c>
      <c r="K3" s="21">
        <v>2811.66</v>
      </c>
    </row>
    <row r="4" spans="1:11" x14ac:dyDescent="0.25">
      <c r="A4" s="12" t="s">
        <v>104</v>
      </c>
      <c r="B4" s="21" t="s">
        <v>104</v>
      </c>
      <c r="C4" s="12" t="str">
        <f>_xlfn.XLOOKUP(Table33[[#This Row],[UN Country Name]],Table1[country_name],Table1[country_ISO3],"check")</f>
        <v>DZA</v>
      </c>
      <c r="D4" s="13">
        <v>1.7070086777199649</v>
      </c>
      <c r="E4" s="13">
        <v>0.47236893523552881</v>
      </c>
      <c r="F4" s="13">
        <v>0.33622989242746543</v>
      </c>
      <c r="G4" s="13">
        <v>6.1822747930214321</v>
      </c>
      <c r="H4" s="18">
        <v>8.6978822984043909</v>
      </c>
      <c r="I4" s="18">
        <v>0.76300000000000001</v>
      </c>
      <c r="K4" s="21">
        <v>46164.2</v>
      </c>
    </row>
    <row r="5" spans="1:11" x14ac:dyDescent="0.25">
      <c r="A5" s="12" t="s">
        <v>157</v>
      </c>
      <c r="B5" s="21" t="s">
        <v>157</v>
      </c>
      <c r="C5" s="12" t="str">
        <f>_xlfn.XLOOKUP(Table33[[#This Row],[UN Country Name]],Table1[country_name],Table1[country_ISO3],"check")</f>
        <v>AGO</v>
      </c>
      <c r="D5" s="13">
        <v>1.7299274827958715</v>
      </c>
      <c r="E5" s="13">
        <v>0.12564036908943971</v>
      </c>
      <c r="F5" s="13">
        <v>0.10302196740671403</v>
      </c>
      <c r="G5" s="13">
        <v>0.9737420509987782</v>
      </c>
      <c r="H5" s="18">
        <v>2.9323318702908034</v>
      </c>
      <c r="I5" s="18">
        <v>0.61599999999999999</v>
      </c>
      <c r="J5">
        <v>0.75054060011047652</v>
      </c>
      <c r="K5" s="21">
        <v>36749.9</v>
      </c>
    </row>
    <row r="6" spans="1:11" x14ac:dyDescent="0.25">
      <c r="A6" s="12" t="s">
        <v>54</v>
      </c>
      <c r="B6" s="21" t="s">
        <v>54</v>
      </c>
      <c r="C6" s="12" t="str">
        <f>_xlfn.XLOOKUP(Table33[[#This Row],[UN Country Name]],Table1[country_name],Table1[country_ISO3],"check")</f>
        <v>ARG</v>
      </c>
      <c r="D6" s="13">
        <v>9.9484642631273825</v>
      </c>
      <c r="E6" s="13">
        <v>1.4029621374488344</v>
      </c>
      <c r="F6" s="13">
        <v>0.63088896403914063</v>
      </c>
      <c r="G6" s="13">
        <v>4.4315538095321747</v>
      </c>
      <c r="H6" s="18">
        <v>16.413869174147532</v>
      </c>
      <c r="I6" s="18">
        <v>0.86499999999999999</v>
      </c>
      <c r="J6">
        <v>2.8067309567310228</v>
      </c>
      <c r="K6" s="21">
        <v>45538.400000000001</v>
      </c>
    </row>
    <row r="7" spans="1:11" x14ac:dyDescent="0.25">
      <c r="A7" s="12" t="s">
        <v>76</v>
      </c>
      <c r="B7" s="21" t="s">
        <v>76</v>
      </c>
      <c r="C7" s="12" t="str">
        <f>_xlfn.XLOOKUP(Table33[[#This Row],[UN Country Name]],Table1[country_name],Table1[country_ISO3],"check")</f>
        <v>ARM</v>
      </c>
      <c r="D7" s="13">
        <v>2.2595092733208988</v>
      </c>
      <c r="E7" s="13">
        <v>1.9275029812563065</v>
      </c>
      <c r="F7" s="13">
        <v>0.82775507153316419</v>
      </c>
      <c r="G7" s="13">
        <v>2.4999881089492049</v>
      </c>
      <c r="H7" s="18">
        <v>7.5147554350595742</v>
      </c>
      <c r="I7" s="18">
        <v>0.81100000000000005</v>
      </c>
      <c r="K7" s="21">
        <v>2943.39</v>
      </c>
    </row>
    <row r="8" spans="1:11" x14ac:dyDescent="0.25">
      <c r="A8" s="12" t="s">
        <v>14</v>
      </c>
      <c r="B8" s="21" t="s">
        <v>14</v>
      </c>
      <c r="C8" s="12" t="str">
        <f>_xlfn.XLOOKUP(Table33[[#This Row],[UN Country Name]],Table1[country_name],Table1[country_ISO3],"check")</f>
        <v>AUS</v>
      </c>
      <c r="D8" s="13">
        <v>6.5516365292936776</v>
      </c>
      <c r="E8" s="13">
        <v>7.6548900801857007</v>
      </c>
      <c r="F8" s="13">
        <v>5.3573333434148296</v>
      </c>
      <c r="G8" s="13">
        <v>11.886795256151919</v>
      </c>
      <c r="H8" s="18">
        <v>31.450655209046126</v>
      </c>
      <c r="I8" s="18">
        <v>0.95799999999999996</v>
      </c>
      <c r="K8" s="21">
        <v>26451.1</v>
      </c>
    </row>
    <row r="9" spans="1:11" x14ac:dyDescent="0.25">
      <c r="A9" s="12" t="s">
        <v>29</v>
      </c>
      <c r="B9" s="21" t="s">
        <v>29</v>
      </c>
      <c r="C9" s="12" t="str">
        <f>_xlfn.XLOOKUP(Table33[[#This Row],[UN Country Name]],Table1[country_name],Table1[country_ISO3],"check")</f>
        <v>AUT</v>
      </c>
      <c r="D9" s="13">
        <v>5.8181516095079857</v>
      </c>
      <c r="E9" s="13">
        <v>5.16413071454466</v>
      </c>
      <c r="F9" s="13">
        <v>2.7300761300398775</v>
      </c>
      <c r="G9" s="13">
        <v>11.645965305029446</v>
      </c>
      <c r="H9" s="18">
        <v>25.358323759121969</v>
      </c>
      <c r="I9" s="18">
        <v>0.93</v>
      </c>
      <c r="J9">
        <v>5.4883860891546181</v>
      </c>
      <c r="K9" s="21">
        <v>9130.43</v>
      </c>
    </row>
    <row r="10" spans="1:11" x14ac:dyDescent="0.25">
      <c r="A10" s="12" t="s">
        <v>89</v>
      </c>
      <c r="B10" s="21" t="s">
        <v>89</v>
      </c>
      <c r="C10" s="12" t="str">
        <f>_xlfn.XLOOKUP(Table33[[#This Row],[UN Country Name]],Table1[country_name],Table1[country_ISO3],"check")</f>
        <v>AZE</v>
      </c>
      <c r="D10" s="13">
        <v>2.8027696691283364</v>
      </c>
      <c r="E10" s="13">
        <v>0.90067831598534631</v>
      </c>
      <c r="F10" s="13">
        <v>0.21218478029113605</v>
      </c>
      <c r="G10" s="13">
        <v>3.0401424667093098</v>
      </c>
      <c r="H10" s="18">
        <v>6.9557752321141288</v>
      </c>
      <c r="I10" s="18">
        <v>0.78900000000000003</v>
      </c>
      <c r="K10" s="21">
        <v>10318.200000000001</v>
      </c>
    </row>
    <row r="11" spans="1:11" x14ac:dyDescent="0.25">
      <c r="A11" s="12" t="s">
        <v>73</v>
      </c>
      <c r="B11" s="21" t="s">
        <v>73</v>
      </c>
      <c r="C11" s="12" t="str">
        <f>_xlfn.XLOOKUP(Table33[[#This Row],[UN Country Name]],Table1[country_name],Table1[country_ISO3],"check")</f>
        <v>BHS</v>
      </c>
      <c r="D11" s="13">
        <v>1.7336871620268375</v>
      </c>
      <c r="E11" s="13">
        <v>8.0210845183256563</v>
      </c>
      <c r="F11" s="13">
        <v>2.4144026637292209</v>
      </c>
      <c r="G11" s="13">
        <v>5.0800070098137393</v>
      </c>
      <c r="H11" s="18">
        <v>17.249181353895455</v>
      </c>
      <c r="I11" s="18">
        <v>0.82</v>
      </c>
      <c r="K11" s="21">
        <v>399.44</v>
      </c>
    </row>
    <row r="12" spans="1:11" x14ac:dyDescent="0.25">
      <c r="A12" s="12" t="s">
        <v>45</v>
      </c>
      <c r="B12" s="21" t="s">
        <v>45</v>
      </c>
      <c r="C12" s="12" t="str">
        <f>_xlfn.XLOOKUP(Table33[[#This Row],[UN Country Name]],Table1[country_name],Table1[country_ISO3],"check")</f>
        <v>BHR</v>
      </c>
      <c r="D12" s="13">
        <v>4.1990201762153827</v>
      </c>
      <c r="E12" s="13">
        <v>3.1302655972274427</v>
      </c>
      <c r="F12" s="13">
        <v>5.3393012544037921</v>
      </c>
      <c r="G12" s="13">
        <v>10.599081972643932</v>
      </c>
      <c r="H12" s="18">
        <v>23.26766900049055</v>
      </c>
      <c r="I12" s="18">
        <v>0.89900000000000002</v>
      </c>
      <c r="K12" s="21">
        <v>1569.67</v>
      </c>
    </row>
    <row r="13" spans="1:11" x14ac:dyDescent="0.25">
      <c r="A13" s="12" t="s">
        <v>139</v>
      </c>
      <c r="B13" s="21" t="s">
        <v>139</v>
      </c>
      <c r="C13" s="12" t="str">
        <f>_xlfn.XLOOKUP(Table33[[#This Row],[UN Country Name]],Table1[country_name],Table1[country_ISO3],"check")</f>
        <v>BGD</v>
      </c>
      <c r="D13" s="13">
        <v>1.7650654469956317</v>
      </c>
      <c r="E13" s="13">
        <v>0.36904700029743331</v>
      </c>
      <c r="F13" s="13">
        <v>0.18201022937358208</v>
      </c>
      <c r="G13" s="13">
        <v>2.0631830148075139</v>
      </c>
      <c r="H13" s="18">
        <v>4.379305691474161</v>
      </c>
      <c r="I13" s="18">
        <v>0.68500000000000005</v>
      </c>
      <c r="J13">
        <v>0.92103875381268696</v>
      </c>
      <c r="K13" s="21">
        <v>171467</v>
      </c>
    </row>
    <row r="14" spans="1:11" x14ac:dyDescent="0.25">
      <c r="A14" s="12" t="s">
        <v>72</v>
      </c>
      <c r="B14" s="21" t="s">
        <v>72</v>
      </c>
      <c r="C14" s="12" t="str">
        <f>_xlfn.XLOOKUP(Table33[[#This Row],[UN Country Name]],Table1[country_name],Table1[country_ISO3],"check")</f>
        <v>BLR</v>
      </c>
      <c r="D14" s="13">
        <v>5.873507297316273</v>
      </c>
      <c r="E14" s="13">
        <v>1.005007635195619</v>
      </c>
      <c r="F14" s="13">
        <v>0.37735210099520827</v>
      </c>
      <c r="G14" s="13">
        <v>3.3681773603285765</v>
      </c>
      <c r="H14" s="18">
        <v>10.624044393835677</v>
      </c>
      <c r="I14" s="18">
        <v>0.82399999999999995</v>
      </c>
      <c r="J14">
        <v>4.1052152993523245</v>
      </c>
      <c r="K14" s="21">
        <v>9115.68</v>
      </c>
    </row>
    <row r="15" spans="1:11" x14ac:dyDescent="0.25">
      <c r="A15" s="12" t="s">
        <v>17</v>
      </c>
      <c r="B15" s="21" t="s">
        <v>17</v>
      </c>
      <c r="C15" s="12" t="str">
        <f>_xlfn.XLOOKUP(Table33[[#This Row],[UN Country Name]],Table1[country_name],Table1[country_ISO3],"check")</f>
        <v>BEL</v>
      </c>
      <c r="D15" s="13">
        <v>5.1275081320595239</v>
      </c>
      <c r="E15" s="13">
        <v>5.8243884093606191</v>
      </c>
      <c r="F15" s="13">
        <v>6.1194614484884191</v>
      </c>
      <c r="G15" s="13">
        <v>28.495328227851342</v>
      </c>
      <c r="H15" s="18">
        <v>45.566686217759909</v>
      </c>
      <c r="I15" s="18">
        <v>0.95099999999999996</v>
      </c>
      <c r="J15">
        <v>5.1306187195314568</v>
      </c>
      <c r="K15" s="21">
        <v>11712.9</v>
      </c>
    </row>
    <row r="16" spans="1:11" x14ac:dyDescent="0.25">
      <c r="A16" s="12" t="s">
        <v>123</v>
      </c>
      <c r="B16" s="21" t="s">
        <v>123</v>
      </c>
      <c r="C16" s="12" t="str">
        <f>_xlfn.XLOOKUP(Table33[[#This Row],[UN Country Name]],Table1[country_name],Table1[country_ISO3],"check")</f>
        <v>BLZ</v>
      </c>
      <c r="D16" s="13">
        <v>4.3197739755683449</v>
      </c>
      <c r="E16" s="13">
        <v>1.3854480352998984</v>
      </c>
      <c r="F16" s="13">
        <v>1.1957402713655358</v>
      </c>
      <c r="G16" s="13">
        <v>4.0347185397440075</v>
      </c>
      <c r="H16" s="18">
        <v>10.935680821977787</v>
      </c>
      <c r="I16" s="18">
        <v>0.72099999999999997</v>
      </c>
      <c r="K16" s="21">
        <v>411.10599999999999</v>
      </c>
    </row>
    <row r="17" spans="1:11" x14ac:dyDescent="0.25">
      <c r="A17" s="12" t="s">
        <v>183</v>
      </c>
      <c r="B17" s="21" t="s">
        <v>183</v>
      </c>
      <c r="C17" s="12" t="str">
        <f>_xlfn.XLOOKUP(Table33[[#This Row],[UN Country Name]],Table1[country_name],Table1[country_ISO3],"check")</f>
        <v>BEN</v>
      </c>
      <c r="D17" s="13">
        <v>2.1231921196229893</v>
      </c>
      <c r="E17" s="13">
        <v>0.10151796470838353</v>
      </c>
      <c r="F17" s="13">
        <v>7.3431861668202106E-2</v>
      </c>
      <c r="G17" s="13">
        <v>1.1271563319396216</v>
      </c>
      <c r="H17" s="18">
        <v>3.4252982779391963</v>
      </c>
      <c r="I17" s="18">
        <v>0.51500000000000001</v>
      </c>
      <c r="J17">
        <v>1.1028741407412657</v>
      </c>
      <c r="K17" s="21">
        <v>14111</v>
      </c>
    </row>
    <row r="18" spans="1:11" x14ac:dyDescent="0.25">
      <c r="A18" s="12" t="s">
        <v>134</v>
      </c>
      <c r="B18" s="21" t="s">
        <v>134</v>
      </c>
      <c r="C18" s="12" t="str">
        <f>_xlfn.XLOOKUP(Table33[[#This Row],[UN Country Name]],Table1[country_name],Table1[country_ISO3],"check")</f>
        <v>BTN</v>
      </c>
      <c r="D18" s="13">
        <v>4.720874635197772</v>
      </c>
      <c r="E18" s="13">
        <v>1.060244028052417</v>
      </c>
      <c r="F18" s="13">
        <v>0.3913388480197359</v>
      </c>
      <c r="G18" s="13">
        <v>18.538447452583657</v>
      </c>
      <c r="H18" s="18">
        <v>24.710904963853583</v>
      </c>
      <c r="I18" s="18">
        <v>0.69799999999999995</v>
      </c>
      <c r="J18">
        <v>4.8385167570592014</v>
      </c>
      <c r="K18" s="21">
        <v>786.38499999999999</v>
      </c>
    </row>
    <row r="19" spans="1:11" x14ac:dyDescent="0.25">
      <c r="A19" s="12" t="s">
        <v>243</v>
      </c>
      <c r="B19" s="21" t="s">
        <v>243</v>
      </c>
      <c r="C19" s="12" t="str">
        <f>_xlfn.XLOOKUP(Table33[[#This Row],[UN Country Name]],Table1[country_name],Table1[country_ISO3],"check")</f>
        <v>BOL</v>
      </c>
      <c r="D19" s="13">
        <v>7.7312283366818573</v>
      </c>
      <c r="E19" s="13">
        <v>0.41592484604955815</v>
      </c>
      <c r="F19" s="13">
        <v>0.2798111759036932</v>
      </c>
      <c r="G19" s="13">
        <v>3.8002396236585487</v>
      </c>
      <c r="H19">
        <v>12.227203982293657</v>
      </c>
      <c r="I19" s="9">
        <v>0.73299999999999998</v>
      </c>
      <c r="J19">
        <v>2.6677808268404632</v>
      </c>
      <c r="K19" s="21">
        <v>12244.2</v>
      </c>
    </row>
    <row r="20" spans="1:11" x14ac:dyDescent="0.25">
      <c r="A20" s="12" t="s">
        <v>81</v>
      </c>
      <c r="B20" s="21" t="s">
        <v>81</v>
      </c>
      <c r="C20" s="12" t="str">
        <f>_xlfn.XLOOKUP(Table33[[#This Row],[UN Country Name]],Table1[country_name],Table1[country_ISO3],"check")</f>
        <v>BIH</v>
      </c>
      <c r="D20" s="13">
        <v>3.3999638940431449</v>
      </c>
      <c r="E20" s="13">
        <v>5.088235423397288</v>
      </c>
      <c r="F20" s="13">
        <v>0.44998194702157251</v>
      </c>
      <c r="G20" s="13">
        <v>6.9054811982154236</v>
      </c>
      <c r="H20" s="18">
        <v>15.843662462677429</v>
      </c>
      <c r="I20" s="18">
        <v>0.80400000000000005</v>
      </c>
      <c r="K20" s="21">
        <v>3185.07</v>
      </c>
    </row>
    <row r="21" spans="1:11" x14ac:dyDescent="0.25">
      <c r="A21" s="12" t="s">
        <v>119</v>
      </c>
      <c r="B21" s="21" t="s">
        <v>119</v>
      </c>
      <c r="C21" s="12" t="str">
        <f>_xlfn.XLOOKUP(Table33[[#This Row],[UN Country Name]],Table1[country_name],Table1[country_ISO3],"check")</f>
        <v>BWA</v>
      </c>
      <c r="D21" s="13">
        <v>2.2919810179660032</v>
      </c>
      <c r="E21" s="13">
        <v>0.93950383833822537</v>
      </c>
      <c r="F21" s="13">
        <v>0.78242629745508496</v>
      </c>
      <c r="G21" s="13">
        <v>1.6838338225333032</v>
      </c>
      <c r="H21" s="18">
        <v>5.6977449762926167</v>
      </c>
      <c r="I21" s="18">
        <v>0.73099999999999998</v>
      </c>
      <c r="J21">
        <v>2.3380781698545303</v>
      </c>
      <c r="K21" s="21">
        <v>2480.2399999999998</v>
      </c>
    </row>
    <row r="22" spans="1:11" x14ac:dyDescent="0.25">
      <c r="A22" s="12" t="s">
        <v>92</v>
      </c>
      <c r="B22" s="21" t="s">
        <v>92</v>
      </c>
      <c r="C22" s="12" t="str">
        <f>_xlfn.XLOOKUP(Table33[[#This Row],[UN Country Name]],Table1[country_name],Table1[country_ISO3],"check")</f>
        <v>BRA</v>
      </c>
      <c r="D22" s="13">
        <v>10.948672531625785</v>
      </c>
      <c r="E22" s="13">
        <v>1.1534512387456723</v>
      </c>
      <c r="F22" s="13">
        <v>0.72829536186718824</v>
      </c>
      <c r="G22" s="13">
        <v>4.1656192970574164</v>
      </c>
      <c r="H22" s="18">
        <v>16.996038429296064</v>
      </c>
      <c r="I22" s="18">
        <v>0.78600000000000003</v>
      </c>
      <c r="J22">
        <v>2.4444849318701722</v>
      </c>
      <c r="K22" s="21">
        <v>211141</v>
      </c>
    </row>
    <row r="23" spans="1:11" x14ac:dyDescent="0.25">
      <c r="A23" s="12" t="s">
        <v>67</v>
      </c>
      <c r="B23" s="21" t="s">
        <v>67</v>
      </c>
      <c r="C23" s="12" t="str">
        <f>_xlfn.XLOOKUP(Table33[[#This Row],[UN Country Name]],Table1[country_name],Table1[country_ISO3],"check")</f>
        <v>BRN</v>
      </c>
      <c r="D23" s="13">
        <v>6.0393442408633637</v>
      </c>
      <c r="E23" s="13">
        <v>4.342578369274146</v>
      </c>
      <c r="F23" s="13">
        <v>2.1945379551976365</v>
      </c>
      <c r="G23" s="13">
        <v>7.5708128789909122</v>
      </c>
      <c r="H23" s="18">
        <v>20.147273444326057</v>
      </c>
      <c r="I23" s="18">
        <v>0.83699999999999997</v>
      </c>
      <c r="K23" s="21">
        <v>458.94900000000001</v>
      </c>
    </row>
    <row r="24" spans="1:11" x14ac:dyDescent="0.25">
      <c r="A24" s="12" t="s">
        <v>62</v>
      </c>
      <c r="B24" s="21" t="s">
        <v>62</v>
      </c>
      <c r="C24" s="12" t="str">
        <f>_xlfn.XLOOKUP(Table33[[#This Row],[UN Country Name]],Table1[country_name],Table1[country_ISO3],"check")</f>
        <v>BGR</v>
      </c>
      <c r="D24" s="13">
        <v>3.390195561964743</v>
      </c>
      <c r="E24" s="13">
        <v>6.216836281232526</v>
      </c>
      <c r="F24" s="13">
        <v>1.3099140645692928</v>
      </c>
      <c r="G24" s="13">
        <v>4.9842546867182671</v>
      </c>
      <c r="H24" s="18">
        <v>15.901200594484829</v>
      </c>
      <c r="I24" s="18">
        <v>0.84499999999999997</v>
      </c>
      <c r="K24" s="21">
        <v>6795.8</v>
      </c>
    </row>
    <row r="25" spans="1:11" x14ac:dyDescent="0.25">
      <c r="A25" s="12" t="s">
        <v>196</v>
      </c>
      <c r="B25" s="21" t="s">
        <v>196</v>
      </c>
      <c r="C25" s="12" t="str">
        <f>_xlfn.XLOOKUP(Table33[[#This Row],[UN Country Name]],Table1[country_name],Table1[country_ISO3],"check")</f>
        <v>BFA</v>
      </c>
      <c r="D25" s="13">
        <v>1.4193393497728635</v>
      </c>
      <c r="E25" s="13">
        <v>7.6532020602975787E-2</v>
      </c>
      <c r="F25" s="13">
        <v>4.1478298256738093E-2</v>
      </c>
      <c r="G25" s="13">
        <v>0.49595918491431351</v>
      </c>
      <c r="H25" s="18">
        <v>2.0333088535468908</v>
      </c>
      <c r="I25" s="18">
        <v>0.45900000000000002</v>
      </c>
      <c r="J25">
        <v>1.2026365642018952</v>
      </c>
      <c r="K25" s="21">
        <v>23025.8</v>
      </c>
    </row>
    <row r="26" spans="1:11" x14ac:dyDescent="0.25">
      <c r="A26" s="12" t="s">
        <v>197</v>
      </c>
      <c r="B26" s="21" t="s">
        <v>197</v>
      </c>
      <c r="C26" s="12" t="str">
        <f>_xlfn.XLOOKUP(Table33[[#This Row],[UN Country Name]],Table1[country_name],Table1[country_ISO3],"check")</f>
        <v>BDI</v>
      </c>
      <c r="D26" s="13">
        <v>1.1663581577121152</v>
      </c>
      <c r="E26" s="13">
        <v>2.0521713722195845E-2</v>
      </c>
      <c r="F26" s="13">
        <v>1.4136893239344023E-2</v>
      </c>
      <c r="G26" s="13">
        <v>0.34189064611563608</v>
      </c>
      <c r="H26" s="18">
        <v>1.5429074107892911</v>
      </c>
      <c r="I26" s="18">
        <v>0.439</v>
      </c>
      <c r="J26">
        <v>0.64090098250483951</v>
      </c>
      <c r="K26" s="21">
        <v>13689.5</v>
      </c>
    </row>
    <row r="27" spans="1:11" x14ac:dyDescent="0.25">
      <c r="A27" s="12" t="s">
        <v>160</v>
      </c>
      <c r="B27" s="21" t="s">
        <v>160</v>
      </c>
      <c r="C27" s="12" t="str">
        <f>_xlfn.XLOOKUP(Table33[[#This Row],[UN Country Name]],Table1[country_name],Table1[country_ISO3],"check")</f>
        <v>KHM</v>
      </c>
      <c r="D27" s="13">
        <v>3.0108127342328639</v>
      </c>
      <c r="E27" s="13">
        <v>0.34183231079149901</v>
      </c>
      <c r="F27" s="13">
        <v>0.28145598861334142</v>
      </c>
      <c r="G27" s="13">
        <v>4.856405052829734</v>
      </c>
      <c r="H27" s="18">
        <v>8.4905060864674375</v>
      </c>
      <c r="I27" s="18">
        <v>0.60599999999999998</v>
      </c>
      <c r="J27">
        <v>1.6274095351786912</v>
      </c>
      <c r="K27" s="21">
        <v>17423.900000000001</v>
      </c>
    </row>
    <row r="28" spans="1:11" x14ac:dyDescent="0.25">
      <c r="A28" s="12" t="s">
        <v>164</v>
      </c>
      <c r="B28" s="21" t="s">
        <v>164</v>
      </c>
      <c r="C28" s="12" t="str">
        <f>_xlfn.XLOOKUP(Table33[[#This Row],[UN Country Name]],Table1[country_name],Table1[country_ISO3],"check")</f>
        <v>CMR</v>
      </c>
      <c r="D28" s="13">
        <v>2.2578994596918869</v>
      </c>
      <c r="E28" s="13">
        <v>0.18243142175401</v>
      </c>
      <c r="F28" s="13">
        <v>7.6862899900256229E-2</v>
      </c>
      <c r="G28" s="13">
        <v>1.5288136835761137</v>
      </c>
      <c r="H28" s="18">
        <v>4.0460074649222673</v>
      </c>
      <c r="I28" s="18">
        <v>0.58799999999999997</v>
      </c>
      <c r="J28">
        <v>1.0806813591938731</v>
      </c>
      <c r="K28" s="21">
        <v>28372.7</v>
      </c>
    </row>
    <row r="29" spans="1:11" x14ac:dyDescent="0.25">
      <c r="A29" s="12" t="s">
        <v>23</v>
      </c>
      <c r="B29" s="21" t="s">
        <v>23</v>
      </c>
      <c r="C29" s="12" t="str">
        <f>_xlfn.XLOOKUP(Table33[[#This Row],[UN Country Name]],Table1[country_name],Table1[country_ISO3],"check")</f>
        <v>CAN</v>
      </c>
      <c r="D29" s="13">
        <v>6.4030514439261967</v>
      </c>
      <c r="E29" s="13">
        <v>18.449927835497505</v>
      </c>
      <c r="F29" s="13">
        <v>4.2546391902104626</v>
      </c>
      <c r="G29" s="13">
        <v>10.641701031321327</v>
      </c>
      <c r="H29" s="18">
        <v>39.749319500955494</v>
      </c>
      <c r="I29" s="18">
        <v>0.93899999999999995</v>
      </c>
      <c r="J29">
        <v>6.8563911896201182</v>
      </c>
      <c r="K29" s="21">
        <v>39299.1</v>
      </c>
    </row>
    <row r="30" spans="1:11" x14ac:dyDescent="0.25">
      <c r="A30" s="12" t="s">
        <v>201</v>
      </c>
      <c r="B30" s="21" t="s">
        <v>201</v>
      </c>
      <c r="C30" s="12" t="str">
        <f>_xlfn.XLOOKUP(Table33[[#This Row],[UN Country Name]],Table1[country_name],Table1[country_ISO3],"check")</f>
        <v>CAF</v>
      </c>
      <c r="D30" s="13">
        <v>3.0197792493624354</v>
      </c>
      <c r="E30" s="13">
        <v>4.7815977734734359E-2</v>
      </c>
      <c r="F30" s="13">
        <v>3.6801735883332493E-2</v>
      </c>
      <c r="G30" s="13">
        <v>0.15167688193120901</v>
      </c>
      <c r="H30" s="18">
        <v>3.2560738449117115</v>
      </c>
      <c r="I30" s="18">
        <v>0.41399999999999998</v>
      </c>
      <c r="J30">
        <v>2.0268943525566625</v>
      </c>
      <c r="K30" s="21">
        <v>5152.42</v>
      </c>
    </row>
    <row r="31" spans="1:11" x14ac:dyDescent="0.25">
      <c r="A31" s="12" t="s">
        <v>200</v>
      </c>
      <c r="B31" s="21" t="s">
        <v>200</v>
      </c>
      <c r="C31" s="12" t="str">
        <f>_xlfn.XLOOKUP(Table33[[#This Row],[UN Country Name]],Table1[country_name],Table1[country_ISO3],"check")</f>
        <v>TCD</v>
      </c>
      <c r="D31" s="13">
        <v>6.9836582449492992</v>
      </c>
      <c r="E31" s="13">
        <v>4.1936787945608234E-2</v>
      </c>
      <c r="F31" s="13">
        <v>3.942994238862059E-2</v>
      </c>
      <c r="G31" s="13">
        <v>0.58977442013344306</v>
      </c>
      <c r="H31" s="18">
        <v>7.6547993954169709</v>
      </c>
      <c r="I31" s="18">
        <v>0.41599999999999998</v>
      </c>
      <c r="J31">
        <v>1.2724767716922631</v>
      </c>
      <c r="K31" s="21">
        <v>19319.099999999999</v>
      </c>
    </row>
    <row r="32" spans="1:11" x14ac:dyDescent="0.25">
      <c r="A32" s="12" t="s">
        <v>52</v>
      </c>
      <c r="B32" s="21" t="s">
        <v>52</v>
      </c>
      <c r="C32" s="12" t="str">
        <f>_xlfn.XLOOKUP(Table33[[#This Row],[UN Country Name]],Table1[country_name],Table1[country_ISO3],"check")</f>
        <v>CHL</v>
      </c>
      <c r="D32" s="13">
        <v>4.7848382912487031</v>
      </c>
      <c r="E32" s="13">
        <v>2.4241088469286018</v>
      </c>
      <c r="F32" s="13">
        <v>3.454001007182534</v>
      </c>
      <c r="G32" s="13">
        <v>3.9584702525077828</v>
      </c>
      <c r="H32" s="18">
        <v>14.621418397867622</v>
      </c>
      <c r="I32" s="18">
        <v>0.878</v>
      </c>
      <c r="J32">
        <v>3.620055293303762</v>
      </c>
      <c r="K32" s="21">
        <v>19658.8</v>
      </c>
    </row>
    <row r="33" spans="1:11" x14ac:dyDescent="0.25">
      <c r="A33" s="12" t="s">
        <v>86</v>
      </c>
      <c r="B33" s="21" t="s">
        <v>86</v>
      </c>
      <c r="C33" s="12" t="str">
        <f>_xlfn.XLOOKUP(Table33[[#This Row],[UN Country Name]],Table1[country_name],Table1[country_ISO3],"check")</f>
        <v>CHN</v>
      </c>
      <c r="D33" s="13">
        <v>3.0464723126968627</v>
      </c>
      <c r="E33" s="13">
        <v>2.9593658961803504</v>
      </c>
      <c r="F33" s="13">
        <v>2.50290043877144</v>
      </c>
      <c r="G33" s="13">
        <v>15.911164145908698</v>
      </c>
      <c r="H33" s="18">
        <v>24.419902793557348</v>
      </c>
      <c r="I33" s="18">
        <v>0.79700000000000004</v>
      </c>
      <c r="J33">
        <v>3.5678154959217641</v>
      </c>
      <c r="K33" s="21">
        <v>1454060</v>
      </c>
    </row>
    <row r="34" spans="1:11" x14ac:dyDescent="0.25">
      <c r="A34" s="12" t="s">
        <v>91</v>
      </c>
      <c r="B34" s="21" t="s">
        <v>91</v>
      </c>
      <c r="C34" s="12" t="str">
        <f>_xlfn.XLOOKUP(Table33[[#This Row],[UN Country Name]],Table1[country_name],Table1[country_ISO3],"check")</f>
        <v>COL</v>
      </c>
      <c r="D34" s="13">
        <v>4.3009608724570541</v>
      </c>
      <c r="E34" s="13">
        <v>0.79115064256936007</v>
      </c>
      <c r="F34" s="13">
        <v>0.41650073010557864</v>
      </c>
      <c r="G34" s="13">
        <v>3.0081346949228993</v>
      </c>
      <c r="H34" s="18">
        <v>8.5167469400548921</v>
      </c>
      <c r="I34" s="18">
        <v>0.78800000000000003</v>
      </c>
      <c r="J34">
        <v>1.9150520439133658</v>
      </c>
      <c r="K34" s="21">
        <v>52321.2</v>
      </c>
    </row>
    <row r="35" spans="1:11" x14ac:dyDescent="0.25">
      <c r="A35" s="12" t="s">
        <v>69</v>
      </c>
      <c r="B35" s="21" t="s">
        <v>69</v>
      </c>
      <c r="C35" s="12" t="str">
        <f>_xlfn.XLOOKUP(Table33[[#This Row],[UN Country Name]],Table1[country_name],Table1[country_ISO3],"check")</f>
        <v>CRI</v>
      </c>
      <c r="D35" s="13">
        <v>3.468427701781601</v>
      </c>
      <c r="E35" s="13">
        <v>1.2293110202290853</v>
      </c>
      <c r="F35" s="13">
        <v>0.79457430389069084</v>
      </c>
      <c r="G35" s="13">
        <v>5.7245806499631771</v>
      </c>
      <c r="H35" s="18">
        <v>11.216893675864554</v>
      </c>
      <c r="I35" s="18">
        <v>0.83299999999999996</v>
      </c>
      <c r="J35">
        <v>2.6598264231655149</v>
      </c>
      <c r="K35" s="21">
        <v>5105.5200000000004</v>
      </c>
    </row>
    <row r="36" spans="1:11" x14ac:dyDescent="0.25">
      <c r="A36" s="12" t="s">
        <v>48</v>
      </c>
      <c r="B36" s="21" t="s">
        <v>48</v>
      </c>
      <c r="C36" s="12" t="str">
        <f>_xlfn.XLOOKUP(Table33[[#This Row],[UN Country Name]],Table1[country_name],Table1[country_ISO3],"check")</f>
        <v>HRV</v>
      </c>
      <c r="D36" s="13">
        <v>3.9866017114901875</v>
      </c>
      <c r="E36" s="13">
        <v>2.9677999599591378</v>
      </c>
      <c r="F36" s="13">
        <v>1.0103071852813896</v>
      </c>
      <c r="G36" s="13">
        <v>7.9648389895329084</v>
      </c>
      <c r="H36" s="18">
        <v>15.929547846263622</v>
      </c>
      <c r="I36" s="18">
        <v>0.88900000000000001</v>
      </c>
      <c r="J36">
        <v>4.7271204973280421</v>
      </c>
      <c r="K36" s="21">
        <v>3896.02</v>
      </c>
    </row>
    <row r="37" spans="1:11" x14ac:dyDescent="0.25">
      <c r="A37" s="12" t="s">
        <v>105</v>
      </c>
      <c r="B37" s="21" t="s">
        <v>105</v>
      </c>
      <c r="C37" s="12" t="str">
        <f>_xlfn.XLOOKUP(Table33[[#This Row],[UN Country Name]],Table1[country_name],Table1[country_ISO3],"check")</f>
        <v>CUB</v>
      </c>
      <c r="D37" s="13">
        <v>3.4871975244784434</v>
      </c>
      <c r="E37" s="13">
        <v>0.43025608217860417</v>
      </c>
      <c r="F37" s="13">
        <v>0.35128993911015527</v>
      </c>
      <c r="G37" s="13">
        <v>2.6723932159094002</v>
      </c>
      <c r="H37" s="18">
        <v>6.9411367616766029</v>
      </c>
      <c r="I37" s="18">
        <v>0.76200000000000001</v>
      </c>
      <c r="J37">
        <v>1.764854490512618</v>
      </c>
      <c r="K37" s="21">
        <v>11019.9</v>
      </c>
    </row>
    <row r="38" spans="1:11" x14ac:dyDescent="0.25">
      <c r="A38" s="12" t="s">
        <v>40</v>
      </c>
      <c r="B38" s="21" t="s">
        <v>40</v>
      </c>
      <c r="C38" s="12" t="str">
        <f>_xlfn.XLOOKUP(Table33[[#This Row],[UN Country Name]],Table1[country_name],Table1[country_ISO3],"check")</f>
        <v>CYP</v>
      </c>
      <c r="D38" s="13">
        <v>3.9266732590819196</v>
      </c>
      <c r="E38" s="13">
        <v>2.2268732620559413</v>
      </c>
      <c r="F38" s="13">
        <v>1.1261676753557675</v>
      </c>
      <c r="G38" s="13">
        <v>15.907205311603146</v>
      </c>
      <c r="H38" s="18">
        <v>23.186919508096775</v>
      </c>
      <c r="I38" s="18">
        <v>0.91300000000000003</v>
      </c>
      <c r="J38">
        <v>4.0466163065621794</v>
      </c>
      <c r="K38" s="21">
        <v>1344.98</v>
      </c>
    </row>
    <row r="39" spans="1:11" x14ac:dyDescent="0.25">
      <c r="A39" s="12" t="s">
        <v>280</v>
      </c>
      <c r="B39" s="21" t="s">
        <v>280</v>
      </c>
      <c r="C39" s="12" t="str">
        <f>_xlfn.XLOOKUP(Table33[[#This Row],[UN Country Name]],Table1[country_name],Table1[country_ISO3],"check")</f>
        <v>CZE</v>
      </c>
      <c r="D39" s="13">
        <v>4.3353153186489912</v>
      </c>
      <c r="E39" s="13">
        <v>5.70535056477053</v>
      </c>
      <c r="F39" s="13">
        <v>1.6362928665920424</v>
      </c>
      <c r="G39" s="13">
        <v>7.920222762888887</v>
      </c>
      <c r="H39">
        <v>19.597181512900452</v>
      </c>
      <c r="I39" s="9">
        <v>0.91500000000000004</v>
      </c>
      <c r="J39">
        <v>5.0678732064719654</v>
      </c>
      <c r="K39" s="21">
        <v>10809.7</v>
      </c>
    </row>
    <row r="40" spans="1:11" x14ac:dyDescent="0.25">
      <c r="A40" s="12" t="s">
        <v>11</v>
      </c>
      <c r="B40" s="21" t="s">
        <v>11</v>
      </c>
      <c r="C40" s="12" t="str">
        <f>_xlfn.XLOOKUP(Table33[[#This Row],[UN Country Name]],Table1[country_name],Table1[country_ISO3],"check")</f>
        <v>DNK</v>
      </c>
      <c r="D40" s="13">
        <v>6.0300075317662332</v>
      </c>
      <c r="E40" s="13">
        <v>4.3872516450520669</v>
      </c>
      <c r="F40" s="13">
        <v>2.2965873365455418</v>
      </c>
      <c r="G40" s="13">
        <v>13.515838396540767</v>
      </c>
      <c r="H40" s="18">
        <v>26.229684909904609</v>
      </c>
      <c r="I40" s="18">
        <v>0.96199999999999997</v>
      </c>
      <c r="J40">
        <v>6.4775921548584936</v>
      </c>
      <c r="K40" s="21">
        <v>5948.14</v>
      </c>
    </row>
    <row r="41" spans="1:11" x14ac:dyDescent="0.25">
      <c r="A41" s="12" t="s">
        <v>185</v>
      </c>
      <c r="B41" s="21" t="s">
        <v>185</v>
      </c>
      <c r="C41" s="12" t="str">
        <f>_xlfn.XLOOKUP(Table33[[#This Row],[UN Country Name]],Table1[country_name],Table1[country_ISO3],"check")</f>
        <v>DJI</v>
      </c>
      <c r="D41" s="13">
        <v>4.4660979756101788</v>
      </c>
      <c r="E41" s="13">
        <v>1.4786059985775495</v>
      </c>
      <c r="F41" s="13">
        <v>0.66255485974985684</v>
      </c>
      <c r="G41" s="13">
        <v>4.2619589917948897</v>
      </c>
      <c r="H41" s="18">
        <v>10.869217825732475</v>
      </c>
      <c r="I41" s="18">
        <v>0.51300000000000001</v>
      </c>
      <c r="K41" s="21">
        <v>1152.94</v>
      </c>
    </row>
    <row r="42" spans="1:11" x14ac:dyDescent="0.25">
      <c r="A42" s="12" t="s">
        <v>97</v>
      </c>
      <c r="B42" s="21" t="s">
        <v>97</v>
      </c>
      <c r="C42" s="12" t="str">
        <f>_xlfn.XLOOKUP(Table33[[#This Row],[UN Country Name]],Table1[country_name],Table1[country_ISO3],"check")</f>
        <v>DOM</v>
      </c>
      <c r="D42" s="13">
        <v>3.0289531651266843</v>
      </c>
      <c r="E42" s="13">
        <v>1.0321700069718391</v>
      </c>
      <c r="F42" s="13">
        <v>0.43022512862601819</v>
      </c>
      <c r="G42" s="13">
        <v>3.8212700219745308</v>
      </c>
      <c r="H42" s="18">
        <v>8.3126183226990733</v>
      </c>
      <c r="I42" s="18">
        <v>0.77600000000000002</v>
      </c>
      <c r="J42">
        <v>2.4029745925004193</v>
      </c>
      <c r="K42" s="21">
        <v>11331.3</v>
      </c>
    </row>
    <row r="43" spans="1:11" x14ac:dyDescent="0.25">
      <c r="A43" s="12" t="s">
        <v>507</v>
      </c>
      <c r="B43" s="21" t="s">
        <v>269</v>
      </c>
      <c r="C43" s="12" t="str">
        <f>_xlfn.XLOOKUP(Table33[[#This Row],[UN Country Name]],Table1[country_name],Table1[country_ISO3],"check")</f>
        <v>COD</v>
      </c>
      <c r="D43" s="13">
        <v>1.0884036109273088</v>
      </c>
      <c r="E43" s="13">
        <v>5.969893184611022E-2</v>
      </c>
      <c r="F43" s="13">
        <v>7.8881141884866238E-2</v>
      </c>
      <c r="G43" s="13">
        <v>0.52292586255789775</v>
      </c>
      <c r="H43" s="18">
        <v>1.749909547216183</v>
      </c>
      <c r="I43" s="22">
        <v>0.52200000000000002</v>
      </c>
      <c r="J43">
        <v>0.69313571226013804</v>
      </c>
      <c r="K43" s="21">
        <v>105790</v>
      </c>
    </row>
    <row r="44" spans="1:11" x14ac:dyDescent="0.25">
      <c r="A44" s="12" t="s">
        <v>96</v>
      </c>
      <c r="B44" s="21" t="s">
        <v>96</v>
      </c>
      <c r="C44" s="12" t="str">
        <f>_xlfn.XLOOKUP(Table33[[#This Row],[UN Country Name]],Table1[country_name],Table1[country_ISO3],"check")</f>
        <v>ECU</v>
      </c>
      <c r="D44" s="13">
        <v>3.0308207407077825</v>
      </c>
      <c r="E44" s="13">
        <v>0.77813115611147876</v>
      </c>
      <c r="F44" s="13">
        <v>0.39375871101940479</v>
      </c>
      <c r="G44" s="13">
        <v>2.8063236022046598</v>
      </c>
      <c r="H44" s="18">
        <v>7.0090342100433256</v>
      </c>
      <c r="I44" s="18">
        <v>0.77700000000000002</v>
      </c>
      <c r="K44" s="21">
        <v>17980.099999999999</v>
      </c>
    </row>
    <row r="45" spans="1:11" x14ac:dyDescent="0.25">
      <c r="A45" s="12" t="s">
        <v>108</v>
      </c>
      <c r="B45" s="21" t="s">
        <v>108</v>
      </c>
      <c r="C45" s="12" t="str">
        <f>_xlfn.XLOOKUP(Table33[[#This Row],[UN Country Name]],Table1[country_name],Table1[country_ISO3],"check")</f>
        <v>EGY</v>
      </c>
      <c r="D45" s="13">
        <v>2.0493611091709156</v>
      </c>
      <c r="E45" s="13">
        <v>0.65097962212754068</v>
      </c>
      <c r="F45" s="13">
        <v>0.20155491723126354</v>
      </c>
      <c r="G45" s="13">
        <v>0.96866893378501084</v>
      </c>
      <c r="H45" s="18">
        <v>3.8705645823147306</v>
      </c>
      <c r="I45" s="18">
        <v>0.754</v>
      </c>
      <c r="J45">
        <v>1.3903707917161416</v>
      </c>
      <c r="K45" s="21">
        <v>114536</v>
      </c>
    </row>
    <row r="46" spans="1:11" x14ac:dyDescent="0.25">
      <c r="A46" s="12" t="s">
        <v>141</v>
      </c>
      <c r="B46" s="21" t="s">
        <v>141</v>
      </c>
      <c r="C46" s="12" t="str">
        <f>_xlfn.XLOOKUP(Table33[[#This Row],[UN Country Name]],Table1[country_name],Table1[country_ISO3],"check")</f>
        <v>SLV</v>
      </c>
      <c r="D46" s="13">
        <v>4.8448592783717563</v>
      </c>
      <c r="E46" s="13">
        <v>0.9690238080898691</v>
      </c>
      <c r="F46" s="13">
        <v>0.46289602226441529</v>
      </c>
      <c r="G46" s="13">
        <v>2.9248414326060841</v>
      </c>
      <c r="H46" s="18">
        <v>9.2016205413321241</v>
      </c>
      <c r="I46" s="18">
        <v>0.67800000000000005</v>
      </c>
      <c r="J46">
        <v>2.2699216434587184</v>
      </c>
      <c r="K46" s="21">
        <v>6309.62</v>
      </c>
    </row>
    <row r="47" spans="1:11" x14ac:dyDescent="0.25">
      <c r="A47" s="12" t="s">
        <v>142</v>
      </c>
      <c r="B47" s="21" t="s">
        <v>142</v>
      </c>
      <c r="C47" s="12" t="str">
        <f>_xlfn.XLOOKUP(Table33[[#This Row],[UN Country Name]],Table1[country_name],Table1[country_ISO3],"check")</f>
        <v>GNQ</v>
      </c>
      <c r="D47" s="13">
        <v>1.1042705204189331</v>
      </c>
      <c r="E47" s="13">
        <v>0.43039538848745634</v>
      </c>
      <c r="F47" s="13">
        <v>0.32179805688614654</v>
      </c>
      <c r="G47" s="13">
        <v>1.7637860950989148</v>
      </c>
      <c r="H47" s="18">
        <v>3.620250060891451</v>
      </c>
      <c r="I47" s="18">
        <v>0.67400000000000004</v>
      </c>
      <c r="K47" s="21">
        <v>1847.55</v>
      </c>
    </row>
    <row r="48" spans="1:11" x14ac:dyDescent="0.25">
      <c r="A48" s="12" t="s">
        <v>188</v>
      </c>
      <c r="B48" s="21" t="s">
        <v>188</v>
      </c>
      <c r="C48" s="12" t="str">
        <f>_xlfn.XLOOKUP(Table33[[#This Row],[UN Country Name]],Table1[country_name],Table1[country_ISO3],"check")</f>
        <v>ERI</v>
      </c>
      <c r="D48" s="13">
        <v>1.2056771717299786</v>
      </c>
      <c r="E48" s="13">
        <v>6.0335870031898435E-2</v>
      </c>
      <c r="F48" s="13">
        <v>9.0118401678197554E-2</v>
      </c>
      <c r="G48" s="13">
        <v>1.1916611677650062</v>
      </c>
      <c r="H48" s="18">
        <v>2.5477926112050806</v>
      </c>
      <c r="I48" s="18">
        <v>0.503</v>
      </c>
      <c r="J48">
        <v>0.73825679534576805</v>
      </c>
      <c r="K48" s="21">
        <v>3470.39</v>
      </c>
    </row>
    <row r="49" spans="1:11" x14ac:dyDescent="0.25">
      <c r="A49" s="12" t="s">
        <v>43</v>
      </c>
      <c r="B49" s="21" t="s">
        <v>43</v>
      </c>
      <c r="C49" s="12" t="str">
        <f>_xlfn.XLOOKUP(Table33[[#This Row],[UN Country Name]],Table1[country_name],Table1[country_ISO3],"check")</f>
        <v>EST</v>
      </c>
      <c r="D49" s="13">
        <v>5.3397725277940316</v>
      </c>
      <c r="E49" s="13">
        <v>5.4350746050321828</v>
      </c>
      <c r="F49" s="13">
        <v>1.7970523698069045</v>
      </c>
      <c r="G49" s="13">
        <v>15.601486249268579</v>
      </c>
      <c r="H49" s="18">
        <v>28.173385751901698</v>
      </c>
      <c r="I49" s="18">
        <v>0.90500000000000003</v>
      </c>
      <c r="J49">
        <v>6.607949824458748</v>
      </c>
      <c r="K49" s="21">
        <v>1367.2</v>
      </c>
    </row>
    <row r="50" spans="1:11" x14ac:dyDescent="0.25">
      <c r="A50" s="12" t="s">
        <v>190</v>
      </c>
      <c r="B50" s="21" t="s">
        <v>190</v>
      </c>
      <c r="C50" s="12" t="str">
        <f>_xlfn.XLOOKUP(Table33[[#This Row],[UN Country Name]],Table1[country_name],Table1[country_ISO3],"check")</f>
        <v>ETH</v>
      </c>
      <c r="D50" s="13">
        <v>2.7683297485469183</v>
      </c>
      <c r="E50" s="13">
        <v>6.6237007739408826E-2</v>
      </c>
      <c r="F50" s="13">
        <v>7.6532845864544799E-2</v>
      </c>
      <c r="G50" s="13">
        <v>0.49028219314331895</v>
      </c>
      <c r="H50" s="18">
        <v>3.4013817952941907</v>
      </c>
      <c r="I50" s="18">
        <v>0.497</v>
      </c>
      <c r="J50">
        <v>0.90977274422652532</v>
      </c>
      <c r="K50" s="21">
        <v>128692</v>
      </c>
    </row>
    <row r="51" spans="1:11" x14ac:dyDescent="0.25">
      <c r="A51" s="12" t="s">
        <v>19</v>
      </c>
      <c r="B51" s="21" t="s">
        <v>19</v>
      </c>
      <c r="C51" s="12" t="str">
        <f>_xlfn.XLOOKUP(Table33[[#This Row],[UN Country Name]],Table1[country_name],Table1[country_ISO3],"check")</f>
        <v>FIN</v>
      </c>
      <c r="D51" s="13">
        <v>6.2391082966298237</v>
      </c>
      <c r="E51" s="13">
        <v>5.6081170251321595</v>
      </c>
      <c r="F51" s="13">
        <v>3.0946268560787975</v>
      </c>
      <c r="G51" s="13">
        <v>16.115945540144146</v>
      </c>
      <c r="H51" s="18">
        <v>31.057797717984929</v>
      </c>
      <c r="I51" s="18">
        <v>0.94799999999999995</v>
      </c>
      <c r="K51" s="21">
        <v>5601.19</v>
      </c>
    </row>
    <row r="52" spans="1:11" x14ac:dyDescent="0.25">
      <c r="A52" s="12" t="s">
        <v>33</v>
      </c>
      <c r="B52" s="21" t="s">
        <v>33</v>
      </c>
      <c r="C52" s="12" t="str">
        <f>_xlfn.XLOOKUP(Table33[[#This Row],[UN Country Name]],Table1[country_name],Table1[country_ISO3],"check")</f>
        <v>FRA</v>
      </c>
      <c r="D52" s="13">
        <v>5.0184078293806351</v>
      </c>
      <c r="E52" s="13">
        <v>3.1659198409092961</v>
      </c>
      <c r="F52" s="13">
        <v>1.5633975552740915</v>
      </c>
      <c r="G52" s="13">
        <v>7.5193032109967541</v>
      </c>
      <c r="H52" s="18">
        <v>17.267028436560775</v>
      </c>
      <c r="I52" s="18">
        <v>0.92</v>
      </c>
      <c r="J52">
        <v>4.5448267541946334</v>
      </c>
      <c r="K52" s="21">
        <v>66477.8</v>
      </c>
    </row>
    <row r="53" spans="1:11" x14ac:dyDescent="0.25">
      <c r="A53" s="12" t="s">
        <v>117</v>
      </c>
      <c r="B53" s="21" t="s">
        <v>117</v>
      </c>
      <c r="C53" s="12" t="str">
        <f>_xlfn.XLOOKUP(Table33[[#This Row],[UN Country Name]],Table1[country_name],Table1[country_ISO3],"check")</f>
        <v>GAB</v>
      </c>
      <c r="D53" s="13">
        <v>1.7059425545015876</v>
      </c>
      <c r="E53" s="13">
        <v>0.45855867095408465</v>
      </c>
      <c r="F53" s="13">
        <v>0.29513882460892066</v>
      </c>
      <c r="G53" s="13">
        <v>1.8932054620309966</v>
      </c>
      <c r="H53" s="18">
        <v>4.3528455120955893</v>
      </c>
      <c r="I53" s="18">
        <v>0.73299999999999998</v>
      </c>
      <c r="K53" s="21">
        <v>2484.79</v>
      </c>
    </row>
    <row r="54" spans="1:11" x14ac:dyDescent="0.25">
      <c r="A54" s="12" t="s">
        <v>180</v>
      </c>
      <c r="B54" s="21" t="s">
        <v>180</v>
      </c>
      <c r="C54" s="12" t="str">
        <f>_xlfn.XLOOKUP(Table33[[#This Row],[UN Country Name]],Table1[country_name],Table1[country_ISO3],"check")</f>
        <v>GMB</v>
      </c>
      <c r="D54" s="13">
        <v>1.0414179491741542</v>
      </c>
      <c r="E54" s="13">
        <v>0.15397058387450702</v>
      </c>
      <c r="F54" s="13">
        <v>0.2241693354683747</v>
      </c>
      <c r="G54" s="13">
        <v>1.6963607923375739</v>
      </c>
      <c r="H54" s="18">
        <v>3.1159186608546094</v>
      </c>
      <c r="I54" s="18">
        <v>0.52400000000000002</v>
      </c>
      <c r="K54" s="21">
        <v>2697.84</v>
      </c>
    </row>
    <row r="55" spans="1:11" x14ac:dyDescent="0.25">
      <c r="A55" s="12" t="s">
        <v>64</v>
      </c>
      <c r="B55" s="21" t="s">
        <v>64</v>
      </c>
      <c r="C55" s="12" t="str">
        <f>_xlfn.XLOOKUP(Table33[[#This Row],[UN Country Name]],Table1[country_name],Table1[country_ISO3],"check")</f>
        <v>GEO</v>
      </c>
      <c r="D55" s="13">
        <v>3.040160578228702</v>
      </c>
      <c r="E55" s="13">
        <v>0.84342519612658207</v>
      </c>
      <c r="F55" s="13">
        <v>0.98183895427171186</v>
      </c>
      <c r="G55" s="13">
        <v>6.538234374876887</v>
      </c>
      <c r="H55" s="18">
        <v>11.403659103503884</v>
      </c>
      <c r="I55" s="18">
        <v>0.84399999999999997</v>
      </c>
      <c r="K55" s="21">
        <v>3807.49</v>
      </c>
    </row>
    <row r="56" spans="1:11" x14ac:dyDescent="0.25">
      <c r="A56" s="12" t="s">
        <v>12</v>
      </c>
      <c r="B56" s="21" t="s">
        <v>12</v>
      </c>
      <c r="C56" s="12" t="str">
        <f>_xlfn.XLOOKUP(Table33[[#This Row],[UN Country Name]],Table1[country_name],Table1[country_ISO3],"check")</f>
        <v>DEU</v>
      </c>
      <c r="D56" s="13">
        <v>4.9049627313177568</v>
      </c>
      <c r="E56" s="13">
        <v>6.3992227865288678</v>
      </c>
      <c r="F56" s="13">
        <v>2.4165115283353162</v>
      </c>
      <c r="G56" s="13">
        <v>10.249590221908923</v>
      </c>
      <c r="H56" s="18">
        <v>23.970287268090864</v>
      </c>
      <c r="I56" s="18">
        <v>0.95899999999999996</v>
      </c>
      <c r="J56">
        <v>4.0281716228139688</v>
      </c>
      <c r="K56" s="21">
        <v>84548.2</v>
      </c>
    </row>
    <row r="57" spans="1:11" x14ac:dyDescent="0.25">
      <c r="A57" s="12" t="s">
        <v>152</v>
      </c>
      <c r="B57" s="21" t="s">
        <v>152</v>
      </c>
      <c r="C57" s="12" t="str">
        <f>_xlfn.XLOOKUP(Table33[[#This Row],[UN Country Name]],Table1[country_name],Table1[country_ISO3],"check")</f>
        <v>GHA</v>
      </c>
      <c r="D57" s="13">
        <v>3.2643627748395136</v>
      </c>
      <c r="E57" s="13">
        <v>0.26955945767567679</v>
      </c>
      <c r="F57" s="13">
        <v>0.20951257698761983</v>
      </c>
      <c r="G57" s="13">
        <v>2.4964711035607423</v>
      </c>
      <c r="H57" s="18">
        <v>6.2399059130635521</v>
      </c>
      <c r="I57" s="18">
        <v>0.628</v>
      </c>
      <c r="J57">
        <v>1.9779602165272183</v>
      </c>
      <c r="K57" s="21">
        <v>33787.9</v>
      </c>
    </row>
    <row r="58" spans="1:11" x14ac:dyDescent="0.25">
      <c r="A58" s="12" t="s">
        <v>41</v>
      </c>
      <c r="B58" s="21" t="s">
        <v>41</v>
      </c>
      <c r="C58" s="12" t="str">
        <f>_xlfn.XLOOKUP(Table33[[#This Row],[UN Country Name]],Table1[country_name],Table1[country_ISO3],"check")</f>
        <v>GRC</v>
      </c>
      <c r="D58" s="13">
        <v>4.7934452157103946</v>
      </c>
      <c r="E58" s="13">
        <v>5.6326034619102012</v>
      </c>
      <c r="F58" s="13">
        <v>1.2016001327748977</v>
      </c>
      <c r="G58" s="13">
        <v>3.1065903211004695</v>
      </c>
      <c r="H58" s="18">
        <v>14.734239131495963</v>
      </c>
      <c r="I58" s="18">
        <v>0.90800000000000003</v>
      </c>
      <c r="J58">
        <v>3.4523009108748499</v>
      </c>
      <c r="K58" s="21">
        <v>10242.9</v>
      </c>
    </row>
    <row r="59" spans="1:11" x14ac:dyDescent="0.25">
      <c r="A59" s="12" t="s">
        <v>146</v>
      </c>
      <c r="B59" s="21" t="s">
        <v>146</v>
      </c>
      <c r="C59" s="12" t="str">
        <f>_xlfn.XLOOKUP(Table33[[#This Row],[UN Country Name]],Table1[country_name],Table1[country_ISO3],"check")</f>
        <v>GTM</v>
      </c>
      <c r="D59" s="13">
        <v>4.7827454096045194</v>
      </c>
      <c r="E59" s="13">
        <v>0.7977887756002825</v>
      </c>
      <c r="F59" s="13">
        <v>0.30284146583686439</v>
      </c>
      <c r="G59" s="13">
        <v>2.5999614892302261</v>
      </c>
      <c r="H59" s="18">
        <v>8.4833371402718925</v>
      </c>
      <c r="I59" s="18">
        <v>0.66200000000000003</v>
      </c>
      <c r="K59" s="21">
        <v>18124.8</v>
      </c>
    </row>
    <row r="60" spans="1:11" x14ac:dyDescent="0.25">
      <c r="A60" s="12" t="s">
        <v>189</v>
      </c>
      <c r="B60" s="21" t="s">
        <v>189</v>
      </c>
      <c r="C60" s="12" t="str">
        <f>_xlfn.XLOOKUP(Table33[[#This Row],[UN Country Name]],Table1[country_name],Table1[country_ISO3],"check")</f>
        <v>GIN</v>
      </c>
      <c r="D60" s="13">
        <v>3.0760457464162991</v>
      </c>
      <c r="E60" s="13">
        <v>0.16933587865745722</v>
      </c>
      <c r="F60" s="13">
        <v>0.18951810072541739</v>
      </c>
      <c r="G60" s="13">
        <v>0.60865870674395195</v>
      </c>
      <c r="H60" s="18">
        <v>4.0435584325431257</v>
      </c>
      <c r="I60" s="18">
        <v>0.5</v>
      </c>
      <c r="J60">
        <v>1.8339793828745965</v>
      </c>
      <c r="K60" s="21">
        <v>14405.5</v>
      </c>
    </row>
    <row r="61" spans="1:11" x14ac:dyDescent="0.25">
      <c r="A61" s="12" t="s">
        <v>175</v>
      </c>
      <c r="B61" s="21" t="s">
        <v>175</v>
      </c>
      <c r="C61" s="12" t="str">
        <f>_xlfn.XLOOKUP(Table33[[#This Row],[UN Country Name]],Table1[country_name],Table1[country_ISO3],"check")</f>
        <v>HTI</v>
      </c>
      <c r="D61" s="13">
        <v>1.6862981421967107</v>
      </c>
      <c r="E61" s="13">
        <v>0.1445659683434444</v>
      </c>
      <c r="F61" s="13">
        <v>8.4641500678845794E-2</v>
      </c>
      <c r="G61" s="13">
        <v>0.59568881365253412</v>
      </c>
      <c r="H61" s="18">
        <v>2.511194424871535</v>
      </c>
      <c r="I61" s="18">
        <v>0.55400000000000005</v>
      </c>
      <c r="J61">
        <v>0.63965327306786735</v>
      </c>
      <c r="K61" s="21">
        <v>11637.4</v>
      </c>
    </row>
    <row r="62" spans="1:11" x14ac:dyDescent="0.25">
      <c r="A62" s="12" t="s">
        <v>148</v>
      </c>
      <c r="B62" s="21" t="s">
        <v>148</v>
      </c>
      <c r="C62" s="12" t="str">
        <f>_xlfn.XLOOKUP(Table33[[#This Row],[UN Country Name]],Table1[country_name],Table1[country_ISO3],"check")</f>
        <v>HND</v>
      </c>
      <c r="D62" s="13">
        <v>3.6212757282830275</v>
      </c>
      <c r="E62" s="13">
        <v>0.60118498060103898</v>
      </c>
      <c r="F62" s="13">
        <v>0.27297156384747623</v>
      </c>
      <c r="G62" s="13">
        <v>1.3372724027468552</v>
      </c>
      <c r="H62" s="18">
        <v>5.8327046754783982</v>
      </c>
      <c r="I62" s="18">
        <v>0.64500000000000002</v>
      </c>
      <c r="K62" s="21">
        <v>10644.9</v>
      </c>
    </row>
    <row r="63" spans="1:11" x14ac:dyDescent="0.25">
      <c r="A63" s="12" t="s">
        <v>53</v>
      </c>
      <c r="B63" s="21" t="s">
        <v>53</v>
      </c>
      <c r="C63" s="12" t="str">
        <f>_xlfn.XLOOKUP(Table33[[#This Row],[UN Country Name]],Table1[country_name],Table1[country_ISO3],"check")</f>
        <v>HUN</v>
      </c>
      <c r="D63" s="13">
        <v>3.5449806224358538</v>
      </c>
      <c r="E63" s="13">
        <v>3.7220848483346858</v>
      </c>
      <c r="F63" s="13">
        <v>1.0670908670453396</v>
      </c>
      <c r="G63" s="13">
        <v>11.377240188882213</v>
      </c>
      <c r="H63" s="18">
        <v>19.711396526698092</v>
      </c>
      <c r="I63" s="18">
        <v>0.87</v>
      </c>
      <c r="K63" s="21">
        <v>9686.4599999999991</v>
      </c>
    </row>
    <row r="64" spans="1:11" x14ac:dyDescent="0.25">
      <c r="A64" s="12" t="s">
        <v>8</v>
      </c>
      <c r="B64" s="21" t="s">
        <v>8</v>
      </c>
      <c r="C64" s="12" t="str">
        <f>_xlfn.XLOOKUP(Table33[[#This Row],[UN Country Name]],Table1[country_name],Table1[country_ISO3],"check")</f>
        <v>ISL</v>
      </c>
      <c r="D64" s="13">
        <v>5.4753146625795361</v>
      </c>
      <c r="E64" s="13">
        <v>3.4581198169048246</v>
      </c>
      <c r="F64" s="13">
        <v>2.1190402468791767</v>
      </c>
      <c r="G64" s="13">
        <v>20.145118924135225</v>
      </c>
      <c r="H64" s="18">
        <v>31.197593650498764</v>
      </c>
      <c r="I64" s="18">
        <v>0.97199999999999998</v>
      </c>
      <c r="J64">
        <v>24.151659880585616</v>
      </c>
      <c r="K64" s="21">
        <v>387.55799999999999</v>
      </c>
    </row>
    <row r="65" spans="1:11" x14ac:dyDescent="0.25">
      <c r="A65" s="12" t="s">
        <v>140</v>
      </c>
      <c r="B65" s="21" t="s">
        <v>140</v>
      </c>
      <c r="C65" s="12" t="str">
        <f>_xlfn.XLOOKUP(Table33[[#This Row],[UN Country Name]],Table1[country_name],Table1[country_ISO3],"check")</f>
        <v>IND</v>
      </c>
      <c r="D65" s="13">
        <v>1.8374510211603052</v>
      </c>
      <c r="E65" s="13">
        <v>0.79447932089536666</v>
      </c>
      <c r="F65" s="13">
        <v>0.358282730326062</v>
      </c>
      <c r="G65" s="13">
        <v>2.1871004040137128</v>
      </c>
      <c r="H65" s="18">
        <v>5.1773134763954465</v>
      </c>
      <c r="I65" s="18">
        <v>0.68500000000000005</v>
      </c>
      <c r="J65">
        <v>1.1496401496450104</v>
      </c>
      <c r="K65" s="21">
        <v>1438070</v>
      </c>
    </row>
    <row r="66" spans="1:11" x14ac:dyDescent="0.25">
      <c r="A66" s="12" t="s">
        <v>121</v>
      </c>
      <c r="B66" s="21" t="s">
        <v>121</v>
      </c>
      <c r="C66" s="12" t="str">
        <f>_xlfn.XLOOKUP(Table33[[#This Row],[UN Country Name]],Table1[country_name],Table1[country_ISO3],"check")</f>
        <v>IDN</v>
      </c>
      <c r="D66" s="13">
        <v>3.7834102244034282</v>
      </c>
      <c r="E66" s="13">
        <v>0.92809277712578686</v>
      </c>
      <c r="F66" s="13">
        <v>0.48044297805754116</v>
      </c>
      <c r="G66" s="13">
        <v>2.4116332835449339</v>
      </c>
      <c r="H66">
        <v>7.6035792631316905</v>
      </c>
      <c r="I66">
        <v>0.72799999999999998</v>
      </c>
      <c r="J66">
        <v>1.6733710658273766</v>
      </c>
      <c r="K66" s="21">
        <v>281190</v>
      </c>
    </row>
    <row r="67" spans="1:11" x14ac:dyDescent="0.25">
      <c r="A67" s="12" t="s">
        <v>512</v>
      </c>
      <c r="B67" s="21" t="s">
        <v>331</v>
      </c>
      <c r="C67" s="12" t="str">
        <f>_xlfn.XLOOKUP(Table33[[#This Row],[UN Country Name]],Table1[country_name],Table1[country_ISO3],"check")</f>
        <v>IRN</v>
      </c>
      <c r="D67" s="13">
        <v>1.708852792281536</v>
      </c>
      <c r="E67" s="13">
        <v>0.69615539125933823</v>
      </c>
      <c r="F67" s="13">
        <v>0.88519934619964746</v>
      </c>
      <c r="G67" s="13">
        <v>2.5411733200012803</v>
      </c>
      <c r="H67" s="18">
        <v>5.8313808497418016</v>
      </c>
      <c r="I67" s="22">
        <v>0.79900000000000004</v>
      </c>
      <c r="K67" s="21">
        <v>90608.7</v>
      </c>
    </row>
    <row r="68" spans="1:11" x14ac:dyDescent="0.25">
      <c r="A68" s="12" t="s">
        <v>136</v>
      </c>
      <c r="B68" s="21" t="s">
        <v>136</v>
      </c>
      <c r="C68" s="12" t="str">
        <f>_xlfn.XLOOKUP(Table33[[#This Row],[UN Country Name]],Table1[country_name],Table1[country_ISO3],"check")</f>
        <v>IRQ</v>
      </c>
      <c r="D68" s="13">
        <v>1.4719455518801263</v>
      </c>
      <c r="E68" s="13">
        <v>0.42869712318160541</v>
      </c>
      <c r="F68" s="13">
        <v>0.25996439196789289</v>
      </c>
      <c r="G68" s="13">
        <v>1.0897824693116447</v>
      </c>
      <c r="H68" s="18">
        <v>3.2503895363412694</v>
      </c>
      <c r="I68" s="18">
        <v>0.69499999999999995</v>
      </c>
      <c r="J68">
        <v>2.088555822523356</v>
      </c>
      <c r="K68" s="21">
        <v>45074.1</v>
      </c>
    </row>
    <row r="69" spans="1:11" x14ac:dyDescent="0.25">
      <c r="A69" s="12" t="s">
        <v>18</v>
      </c>
      <c r="B69" s="21" t="s">
        <v>18</v>
      </c>
      <c r="C69" s="12" t="str">
        <f>_xlfn.XLOOKUP(Table33[[#This Row],[UN Country Name]],Table1[country_name],Table1[country_ISO3],"check")</f>
        <v>IRL</v>
      </c>
      <c r="D69" s="13">
        <v>3.8544627960813065</v>
      </c>
      <c r="E69" s="13">
        <v>4.9861666118234318</v>
      </c>
      <c r="F69" s="13">
        <v>3.3687718771588511</v>
      </c>
      <c r="G69" s="13">
        <v>16.400123734035326</v>
      </c>
      <c r="H69" s="18">
        <v>28.609525019098918</v>
      </c>
      <c r="I69" s="18">
        <v>0.94899999999999995</v>
      </c>
      <c r="K69" s="21">
        <v>5196.63</v>
      </c>
    </row>
    <row r="70" spans="1:11" x14ac:dyDescent="0.25">
      <c r="A70" s="12" t="s">
        <v>34</v>
      </c>
      <c r="B70" s="21" t="s">
        <v>34</v>
      </c>
      <c r="C70" s="12" t="str">
        <f>_xlfn.XLOOKUP(Table33[[#This Row],[UN Country Name]],Table1[country_name],Table1[country_ISO3],"check")</f>
        <v>ISR</v>
      </c>
      <c r="D70" s="13">
        <v>3.2317154460038613</v>
      </c>
      <c r="E70" s="13">
        <v>4.1980651036968295</v>
      </c>
      <c r="F70" s="13">
        <v>1.9283764264593559</v>
      </c>
      <c r="G70" s="13">
        <v>23.926273968784539</v>
      </c>
      <c r="H70" s="18">
        <v>33.284430944944582</v>
      </c>
      <c r="I70" s="18">
        <v>0.91900000000000004</v>
      </c>
      <c r="J70">
        <v>3.9550751865484193</v>
      </c>
      <c r="K70" s="21">
        <v>9256.31</v>
      </c>
    </row>
    <row r="71" spans="1:11" x14ac:dyDescent="0.25">
      <c r="A71" s="12" t="s">
        <v>37</v>
      </c>
      <c r="B71" s="21" t="s">
        <v>37</v>
      </c>
      <c r="C71" s="12" t="str">
        <f>_xlfn.XLOOKUP(Table33[[#This Row],[UN Country Name]],Table1[country_name],Table1[country_ISO3],"check")</f>
        <v>ITA</v>
      </c>
      <c r="D71" s="13">
        <v>3.6470865500258678</v>
      </c>
      <c r="E71" s="13">
        <v>3.6471655815578536</v>
      </c>
      <c r="F71" s="13">
        <v>1.3400921334650246</v>
      </c>
      <c r="G71" s="13">
        <v>7.3883426726599613</v>
      </c>
      <c r="H71" s="18">
        <v>16.022686937708706</v>
      </c>
      <c r="I71" s="18">
        <v>0.91500000000000004</v>
      </c>
      <c r="J71">
        <v>4.0944334085854619</v>
      </c>
      <c r="K71" s="21">
        <v>59533.2</v>
      </c>
    </row>
    <row r="72" spans="1:11" x14ac:dyDescent="0.25">
      <c r="A72" s="12" t="s">
        <v>125</v>
      </c>
      <c r="B72" s="21" t="s">
        <v>125</v>
      </c>
      <c r="C72" s="12" t="str">
        <f>_xlfn.XLOOKUP(Table33[[#This Row],[UN Country Name]],Table1[country_name],Table1[country_ISO3],"check")</f>
        <v>JAM</v>
      </c>
      <c r="D72" s="13">
        <v>2.0724454977304658</v>
      </c>
      <c r="E72" s="13">
        <v>1.0389328084118896</v>
      </c>
      <c r="F72" s="13">
        <v>0.48205641966483437</v>
      </c>
      <c r="G72" s="13">
        <v>1.5980375309441894</v>
      </c>
      <c r="H72" s="18">
        <v>5.1914722567513794</v>
      </c>
      <c r="I72" s="18">
        <v>0.72</v>
      </c>
      <c r="J72">
        <v>1.9563425464558999</v>
      </c>
      <c r="K72" s="21">
        <v>2839.79</v>
      </c>
    </row>
    <row r="73" spans="1:11" x14ac:dyDescent="0.25">
      <c r="A73" s="12" t="s">
        <v>30</v>
      </c>
      <c r="B73" s="21" t="s">
        <v>30</v>
      </c>
      <c r="C73" s="12" t="str">
        <f>_xlfn.XLOOKUP(Table33[[#This Row],[UN Country Name]],Table1[country_name],Table1[country_ISO3],"check")</f>
        <v>JPN</v>
      </c>
      <c r="D73" s="13">
        <v>2.5723288869591787</v>
      </c>
      <c r="E73" s="13">
        <v>3.0150288089667203</v>
      </c>
      <c r="F73" s="13">
        <v>4.0576856099894671</v>
      </c>
      <c r="G73" s="13">
        <v>8.0951566522742446</v>
      </c>
      <c r="H73" s="18">
        <v>17.74019995818961</v>
      </c>
      <c r="I73" s="18">
        <v>0.92500000000000004</v>
      </c>
      <c r="J73">
        <v>4.0125210780648226</v>
      </c>
      <c r="K73" s="21">
        <v>124371</v>
      </c>
    </row>
    <row r="74" spans="1:11" x14ac:dyDescent="0.25">
      <c r="A74" s="12" t="s">
        <v>109</v>
      </c>
      <c r="B74" s="21" t="s">
        <v>109</v>
      </c>
      <c r="C74" s="12" t="str">
        <f>_xlfn.XLOOKUP(Table33[[#This Row],[UN Country Name]],Table1[country_name],Table1[country_ISO3],"check")</f>
        <v>JOR</v>
      </c>
      <c r="D74" s="13">
        <v>1.3432355409469194</v>
      </c>
      <c r="E74" s="13">
        <v>1.2128630498636268</v>
      </c>
      <c r="F74" s="13">
        <v>0.41601248339044689</v>
      </c>
      <c r="G74" s="13">
        <v>4.3400362787607527</v>
      </c>
      <c r="H74" s="18">
        <v>7.3121473529617456</v>
      </c>
      <c r="I74" s="18">
        <v>0.754</v>
      </c>
      <c r="J74">
        <v>1.390505454926918</v>
      </c>
      <c r="K74" s="21">
        <v>11439.2</v>
      </c>
    </row>
    <row r="75" spans="1:11" x14ac:dyDescent="0.25">
      <c r="A75" s="12" t="s">
        <v>68</v>
      </c>
      <c r="B75" s="21" t="s">
        <v>68</v>
      </c>
      <c r="C75" s="12" t="str">
        <f>_xlfn.XLOOKUP(Table33[[#This Row],[UN Country Name]],Table1[country_name],Table1[country_ISO3],"check")</f>
        <v>KAZ</v>
      </c>
      <c r="D75" s="13">
        <v>5.1907173107854856</v>
      </c>
      <c r="E75" s="13">
        <v>1.8644057333707162</v>
      </c>
      <c r="F75" s="13">
        <v>4.8589552928908368</v>
      </c>
      <c r="G75" s="13">
        <v>4.5545980098474672</v>
      </c>
      <c r="H75" s="18">
        <v>16.468676346894505</v>
      </c>
      <c r="I75" s="18">
        <v>0.83699999999999997</v>
      </c>
      <c r="K75" s="21">
        <v>20330.099999999999</v>
      </c>
    </row>
    <row r="76" spans="1:11" x14ac:dyDescent="0.25">
      <c r="A76" s="12" t="s">
        <v>153</v>
      </c>
      <c r="B76" s="21" t="s">
        <v>153</v>
      </c>
      <c r="C76" s="12" t="str">
        <f>_xlfn.XLOOKUP(Table33[[#This Row],[UN Country Name]],Table1[country_name],Table1[country_ISO3],"check")</f>
        <v>KEN</v>
      </c>
      <c r="D76" s="13">
        <v>2.8949896275682612</v>
      </c>
      <c r="E76" s="13">
        <v>0.17281172410054391</v>
      </c>
      <c r="F76" s="13">
        <v>0.13584007661865954</v>
      </c>
      <c r="G76" s="13">
        <v>1.6166159489690815</v>
      </c>
      <c r="H76" s="18">
        <v>4.8202573772565458</v>
      </c>
      <c r="I76" s="18">
        <v>0.628</v>
      </c>
      <c r="J76">
        <v>1.0265448779341875</v>
      </c>
      <c r="K76" s="21">
        <v>55339</v>
      </c>
    </row>
    <row r="77" spans="1:11" x14ac:dyDescent="0.25">
      <c r="A77" s="12" t="s">
        <v>59</v>
      </c>
      <c r="B77" s="21" t="s">
        <v>59</v>
      </c>
      <c r="C77" s="12" t="str">
        <f>_xlfn.XLOOKUP(Table33[[#This Row],[UN Country Name]],Table1[country_name],Table1[country_ISO3],"check")</f>
        <v>KWT</v>
      </c>
      <c r="D77" s="13">
        <v>3.9250263496170521</v>
      </c>
      <c r="E77" s="13">
        <v>7.7930908204134104</v>
      </c>
      <c r="F77" s="13">
        <v>2.8372827448241087</v>
      </c>
      <c r="G77" s="13">
        <v>21.814358577988667</v>
      </c>
      <c r="H77" s="18">
        <v>36.369758492843239</v>
      </c>
      <c r="I77" s="18">
        <v>0.85199999999999998</v>
      </c>
      <c r="K77" s="21">
        <v>4838.78</v>
      </c>
    </row>
    <row r="78" spans="1:11" x14ac:dyDescent="0.25">
      <c r="A78" s="12" t="s">
        <v>126</v>
      </c>
      <c r="B78" s="21" t="s">
        <v>126</v>
      </c>
      <c r="C78" s="12" t="str">
        <f>_xlfn.XLOOKUP(Table33[[#This Row],[UN Country Name]],Table1[country_name],Table1[country_ISO3],"check")</f>
        <v>KGZ</v>
      </c>
      <c r="D78" s="13">
        <v>1.8390689501125324</v>
      </c>
      <c r="E78" s="13">
        <v>0.30931601239552586</v>
      </c>
      <c r="F78" s="13">
        <v>5.9772786392065055E-2</v>
      </c>
      <c r="G78" s="13">
        <v>1.0172829086508557</v>
      </c>
      <c r="H78">
        <v>3.2254406575509789</v>
      </c>
      <c r="I78">
        <v>0.72</v>
      </c>
      <c r="K78" s="21">
        <v>7073.52</v>
      </c>
    </row>
    <row r="79" spans="1:11" x14ac:dyDescent="0.25">
      <c r="A79" s="12" t="s">
        <v>513</v>
      </c>
      <c r="B79" s="21" t="s">
        <v>156</v>
      </c>
      <c r="C79" s="12" t="str">
        <f>_xlfn.XLOOKUP(Table33[[#This Row],[UN Country Name]],Table1[country_name],Table1[country_ISO3],"check")</f>
        <v>LAO</v>
      </c>
      <c r="D79" s="13">
        <v>3.7372763695712585</v>
      </c>
      <c r="E79" s="13">
        <v>0.83504518596893151</v>
      </c>
      <c r="F79" s="13">
        <v>0.40728246220803943</v>
      </c>
      <c r="G79" s="13">
        <v>5.0013523827167417</v>
      </c>
      <c r="H79" s="18">
        <v>9.9809564004649705</v>
      </c>
      <c r="I79" s="22">
        <v>0.61699999999999999</v>
      </c>
      <c r="J79">
        <v>0.97408450630724897</v>
      </c>
      <c r="K79" s="21">
        <v>7664.99</v>
      </c>
    </row>
    <row r="80" spans="1:11" x14ac:dyDescent="0.25">
      <c r="A80" s="12" t="s">
        <v>49</v>
      </c>
      <c r="B80" s="21" t="s">
        <v>49</v>
      </c>
      <c r="C80" s="12" t="str">
        <f>_xlfn.XLOOKUP(Table33[[#This Row],[UN Country Name]],Table1[country_name],Table1[country_ISO3],"check")</f>
        <v>LVA</v>
      </c>
      <c r="D80" s="13">
        <v>4.4842679558011049</v>
      </c>
      <c r="E80" s="13">
        <v>5.7358228856778579</v>
      </c>
      <c r="F80" s="13">
        <v>1.0738881215469613</v>
      </c>
      <c r="G80" s="13">
        <v>12.213184764130897</v>
      </c>
      <c r="H80" s="18">
        <v>23.507163727156822</v>
      </c>
      <c r="I80" s="18">
        <v>0.88900000000000001</v>
      </c>
      <c r="J80">
        <v>6.519262112197195</v>
      </c>
      <c r="K80" s="21">
        <v>1882.4</v>
      </c>
    </row>
    <row r="81" spans="1:11" x14ac:dyDescent="0.25">
      <c r="A81" s="12" t="s">
        <v>110</v>
      </c>
      <c r="B81" s="21" t="s">
        <v>110</v>
      </c>
      <c r="C81" s="12" t="str">
        <f>_xlfn.XLOOKUP(Table33[[#This Row],[UN Country Name]],Table1[country_name],Table1[country_ISO3],"check")</f>
        <v>LBN</v>
      </c>
      <c r="D81" s="13">
        <v>5.4246121496703035</v>
      </c>
      <c r="E81" s="13">
        <v>1.2859942599710055</v>
      </c>
      <c r="F81" s="13">
        <v>0.94255606227775579</v>
      </c>
      <c r="G81" s="13">
        <v>1.9053271071743434</v>
      </c>
      <c r="H81" s="18">
        <v>9.5584895790934077</v>
      </c>
      <c r="I81" s="18">
        <v>0.752</v>
      </c>
      <c r="J81">
        <v>2.2511993612182581</v>
      </c>
      <c r="K81" s="21">
        <v>5773.49</v>
      </c>
    </row>
    <row r="82" spans="1:11" x14ac:dyDescent="0.25">
      <c r="A82" s="12" t="s">
        <v>187</v>
      </c>
      <c r="B82" s="21" t="s">
        <v>187</v>
      </c>
      <c r="C82" s="12" t="str">
        <f>_xlfn.XLOOKUP(Table33[[#This Row],[UN Country Name]],Table1[country_name],Table1[country_ISO3],"check")</f>
        <v>LBR</v>
      </c>
      <c r="D82" s="13">
        <v>1.2051410605804083</v>
      </c>
      <c r="E82" s="13">
        <v>8.5588645974990121E-2</v>
      </c>
      <c r="F82" s="13">
        <v>7.6036358803793169E-2</v>
      </c>
      <c r="G82" s="13">
        <v>0.27118894307877439</v>
      </c>
      <c r="H82" s="18">
        <v>1.6379550084379659</v>
      </c>
      <c r="I82" s="18">
        <v>0.51</v>
      </c>
      <c r="J82">
        <v>1.5179873403203696</v>
      </c>
      <c r="K82" s="21">
        <v>5493.03</v>
      </c>
    </row>
    <row r="83" spans="1:11" x14ac:dyDescent="0.25">
      <c r="A83" s="12" t="s">
        <v>124</v>
      </c>
      <c r="B83" s="21" t="s">
        <v>356</v>
      </c>
      <c r="C83" s="12" t="str">
        <f>_xlfn.XLOOKUP(Table33[[#This Row],[UN Country Name]],Table1[country_name],Table1[country_ISO3],"check")</f>
        <v>LBY</v>
      </c>
      <c r="D83" s="13">
        <v>1.9321615021777636</v>
      </c>
      <c r="E83" s="13">
        <v>1.4242171138541897</v>
      </c>
      <c r="F83" s="13">
        <v>0.34118258993711725</v>
      </c>
      <c r="G83" s="13">
        <v>8.2908622903337967</v>
      </c>
      <c r="H83" s="18">
        <v>11.988423496302866</v>
      </c>
      <c r="I83" s="18">
        <v>0.72099999999999997</v>
      </c>
      <c r="K83" s="21">
        <v>7305.66</v>
      </c>
    </row>
    <row r="84" spans="1:11" x14ac:dyDescent="0.25">
      <c r="A84" s="12" t="s">
        <v>46</v>
      </c>
      <c r="B84" s="21" t="s">
        <v>46</v>
      </c>
      <c r="C84" s="12" t="str">
        <f>_xlfn.XLOOKUP(Table33[[#This Row],[UN Country Name]],Table1[country_name],Table1[country_ISO3],"check")</f>
        <v>LTU</v>
      </c>
      <c r="D84" s="13">
        <v>5.3636190042395153</v>
      </c>
      <c r="E84" s="13">
        <v>6.0246427945762235</v>
      </c>
      <c r="F84" s="13">
        <v>1.3623408429977926</v>
      </c>
      <c r="G84" s="13">
        <v>9.6998647559651037</v>
      </c>
      <c r="H84" s="18">
        <v>22.450467397778635</v>
      </c>
      <c r="I84" s="18">
        <v>0.89500000000000002</v>
      </c>
      <c r="J84">
        <v>5.4011264496688973</v>
      </c>
      <c r="K84" s="21">
        <v>2854.1</v>
      </c>
    </row>
    <row r="85" spans="1:11" x14ac:dyDescent="0.25">
      <c r="A85" s="12" t="s">
        <v>32</v>
      </c>
      <c r="B85" s="21" t="s">
        <v>32</v>
      </c>
      <c r="C85" s="12" t="str">
        <f>_xlfn.XLOOKUP(Table33[[#This Row],[UN Country Name]],Table1[country_name],Table1[country_ISO3],"check")</f>
        <v>LUX</v>
      </c>
      <c r="D85" s="13">
        <v>41.269880528884464</v>
      </c>
      <c r="E85" s="13">
        <v>7.8988209256380264</v>
      </c>
      <c r="F85" s="13">
        <v>3.2522124559087531</v>
      </c>
      <c r="G85" s="13">
        <v>20.598078779367853</v>
      </c>
      <c r="H85" s="18">
        <v>73.018992689799092</v>
      </c>
      <c r="I85" s="18">
        <v>0.92200000000000004</v>
      </c>
      <c r="J85">
        <v>10.636922679063836</v>
      </c>
      <c r="K85" s="21">
        <v>665.09799999999996</v>
      </c>
    </row>
    <row r="86" spans="1:11" x14ac:dyDescent="0.25">
      <c r="A86" s="12" t="s">
        <v>193</v>
      </c>
      <c r="B86" s="21" t="s">
        <v>193</v>
      </c>
      <c r="C86" s="12" t="str">
        <f>_xlfn.XLOOKUP(Table33[[#This Row],[UN Country Name]],Table1[country_name],Table1[country_ISO3],"check")</f>
        <v>MDG</v>
      </c>
      <c r="D86" s="13">
        <v>1.6190718972685514</v>
      </c>
      <c r="E86" s="13">
        <v>6.217538202135537E-2</v>
      </c>
      <c r="F86" s="13">
        <v>4.7916777525251718E-2</v>
      </c>
      <c r="G86" s="13">
        <v>0.2632521901916598</v>
      </c>
      <c r="H86" s="18">
        <v>1.9924162470068183</v>
      </c>
      <c r="I86" s="18">
        <v>0.48699999999999999</v>
      </c>
      <c r="J86">
        <v>0.70539122128228393</v>
      </c>
      <c r="K86" s="21">
        <v>31195.9</v>
      </c>
    </row>
    <row r="87" spans="1:11" x14ac:dyDescent="0.25">
      <c r="A87" s="12" t="s">
        <v>182</v>
      </c>
      <c r="B87" s="21" t="s">
        <v>182</v>
      </c>
      <c r="C87" s="12" t="str">
        <f>_xlfn.XLOOKUP(Table33[[#This Row],[UN Country Name]],Table1[country_name],Table1[country_ISO3],"check")</f>
        <v>MWI</v>
      </c>
      <c r="D87" s="13">
        <v>2.9002121348527563</v>
      </c>
      <c r="E87" s="13">
        <v>8.2919472150489226E-2</v>
      </c>
      <c r="F87" s="13">
        <v>4.3811698926769171E-2</v>
      </c>
      <c r="G87" s="13">
        <v>0.49182851998388971</v>
      </c>
      <c r="H87" s="18">
        <v>3.5187718259139045</v>
      </c>
      <c r="I87" s="18">
        <v>0.51700000000000002</v>
      </c>
      <c r="J87">
        <v>0.81249615011016607</v>
      </c>
      <c r="K87" s="21">
        <v>21104.5</v>
      </c>
    </row>
    <row r="88" spans="1:11" x14ac:dyDescent="0.25">
      <c r="A88" s="12" t="s">
        <v>74</v>
      </c>
      <c r="B88" s="21" t="s">
        <v>74</v>
      </c>
      <c r="C88" s="12" t="str">
        <f>_xlfn.XLOOKUP(Table33[[#This Row],[UN Country Name]],Table1[country_name],Table1[country_ISO3],"check")</f>
        <v>MYS</v>
      </c>
      <c r="D88" s="13">
        <v>6.843404514566009</v>
      </c>
      <c r="E88" s="13">
        <v>1.9508677258919955</v>
      </c>
      <c r="F88" s="13">
        <v>1.4230450972633042</v>
      </c>
      <c r="G88" s="13">
        <v>10.678841665646539</v>
      </c>
      <c r="H88" s="18">
        <v>20.896159003367845</v>
      </c>
      <c r="I88" s="18">
        <v>0.81899999999999995</v>
      </c>
      <c r="J88">
        <v>4.1256154790000652</v>
      </c>
      <c r="K88" s="21">
        <v>35126.300000000003</v>
      </c>
    </row>
    <row r="89" spans="1:11" x14ac:dyDescent="0.25">
      <c r="A89" s="12" t="s">
        <v>198</v>
      </c>
      <c r="B89" s="21" t="s">
        <v>198</v>
      </c>
      <c r="C89" s="12" t="str">
        <f>_xlfn.XLOOKUP(Table33[[#This Row],[UN Country Name]],Table1[country_name],Table1[country_ISO3],"check")</f>
        <v>MLI</v>
      </c>
      <c r="D89" s="13">
        <v>1.9182967802735484</v>
      </c>
      <c r="E89" s="13">
        <v>0.11962228271158773</v>
      </c>
      <c r="F89" s="13">
        <v>8.0812399291517137E-2</v>
      </c>
      <c r="G89" s="13">
        <v>0.98263455494738972</v>
      </c>
      <c r="H89" s="18">
        <v>3.1013660172240431</v>
      </c>
      <c r="I89" s="18">
        <v>0.41899999999999998</v>
      </c>
      <c r="J89">
        <v>1.1678634024847385</v>
      </c>
      <c r="K89" s="21">
        <v>23769.1</v>
      </c>
    </row>
    <row r="90" spans="1:11" x14ac:dyDescent="0.25">
      <c r="A90" s="12" t="s">
        <v>31</v>
      </c>
      <c r="B90" s="21" t="s">
        <v>31</v>
      </c>
      <c r="C90" s="12" t="str">
        <f>_xlfn.XLOOKUP(Table33[[#This Row],[UN Country Name]],Table1[country_name],Table1[country_ISO3],"check")</f>
        <v>MLT</v>
      </c>
      <c r="D90" s="13">
        <v>2.1281944475716568</v>
      </c>
      <c r="E90" s="13">
        <v>3.4230236642424514</v>
      </c>
      <c r="F90" s="13">
        <v>1.4374244778180563</v>
      </c>
      <c r="G90" s="13">
        <v>13.555242834305272</v>
      </c>
      <c r="H90" s="18">
        <v>20.543885423937436</v>
      </c>
      <c r="I90" s="18">
        <v>0.92400000000000004</v>
      </c>
      <c r="J90">
        <v>4.8871257664797847</v>
      </c>
      <c r="K90" s="21">
        <v>532.95600000000002</v>
      </c>
    </row>
    <row r="91" spans="1:11" x14ac:dyDescent="0.25">
      <c r="A91" s="12" t="s">
        <v>172</v>
      </c>
      <c r="B91" s="21" t="s">
        <v>172</v>
      </c>
      <c r="C91" s="12" t="str">
        <f>_xlfn.XLOOKUP(Table33[[#This Row],[UN Country Name]],Table1[country_name],Table1[country_ISO3],"check")</f>
        <v>MRT</v>
      </c>
      <c r="D91" s="13">
        <v>3.5184758802494405</v>
      </c>
      <c r="E91" s="13">
        <v>0.30976597032518061</v>
      </c>
      <c r="F91" s="13">
        <v>0.66903875407172608</v>
      </c>
      <c r="G91" s="13">
        <v>1.0921625743662442</v>
      </c>
      <c r="H91" s="18">
        <v>5.5894431790125916</v>
      </c>
      <c r="I91" s="18">
        <v>0.56299999999999994</v>
      </c>
      <c r="K91" s="21">
        <v>5022.4399999999996</v>
      </c>
    </row>
    <row r="92" spans="1:11" x14ac:dyDescent="0.25">
      <c r="A92" s="12" t="s">
        <v>90</v>
      </c>
      <c r="B92" t="s">
        <v>90</v>
      </c>
      <c r="C92" t="str">
        <f>_xlfn.XLOOKUP(Table33[[#This Row],[UN Country Name]],Table1[country_name],Table1[country_ISO3],"check")</f>
        <v>MEX</v>
      </c>
      <c r="D92" s="13">
        <v>3.8798986280252814</v>
      </c>
      <c r="E92" s="13">
        <v>2.0174876059811933</v>
      </c>
      <c r="F92" s="13">
        <v>1.020053337444119</v>
      </c>
      <c r="G92" s="13">
        <v>4.1250422768614152</v>
      </c>
      <c r="H92">
        <v>11.04248184831201</v>
      </c>
      <c r="I92">
        <v>0.78900000000000003</v>
      </c>
      <c r="J92">
        <v>2.6242536303375981</v>
      </c>
      <c r="K92">
        <v>129740</v>
      </c>
    </row>
    <row r="93" spans="1:11" x14ac:dyDescent="0.25">
      <c r="A93" s="12" t="s">
        <v>112</v>
      </c>
      <c r="B93" t="s">
        <v>112</v>
      </c>
      <c r="C93" t="str">
        <f>_xlfn.XLOOKUP(Table33[[#This Row],[UN Country Name]],Table1[country_name],Table1[country_ISO3],"check")</f>
        <v>MNG</v>
      </c>
      <c r="D93" s="13">
        <v>18.823369940529091</v>
      </c>
      <c r="E93" s="13">
        <v>1.7258120066551474</v>
      </c>
      <c r="F93" s="13">
        <v>0.84676144326953051</v>
      </c>
      <c r="G93" s="13">
        <v>3.7587421654870581</v>
      </c>
      <c r="H93" s="18">
        <v>25.154685555940826</v>
      </c>
      <c r="I93" s="18">
        <v>0.747</v>
      </c>
      <c r="J93">
        <v>7.671995640936732</v>
      </c>
      <c r="K93">
        <v>3431.93</v>
      </c>
    </row>
    <row r="94" spans="1:11" x14ac:dyDescent="0.25">
      <c r="A94" s="12" t="s">
        <v>128</v>
      </c>
      <c r="B94" t="s">
        <v>128</v>
      </c>
      <c r="C94" t="str">
        <f>_xlfn.XLOOKUP(Table33[[#This Row],[UN Country Name]],Table1[country_name],Table1[country_ISO3],"check")</f>
        <v>MAR</v>
      </c>
      <c r="D94" s="13">
        <v>2.3819753927742791</v>
      </c>
      <c r="E94" s="13">
        <v>0.5118601259529334</v>
      </c>
      <c r="F94" s="13">
        <v>0.29756823334438182</v>
      </c>
      <c r="G94" s="13">
        <v>2.6752556314219422</v>
      </c>
      <c r="H94" s="18">
        <v>5.8666593834935368</v>
      </c>
      <c r="I94" s="18">
        <v>0.71</v>
      </c>
      <c r="K94">
        <v>37712.5</v>
      </c>
    </row>
    <row r="95" spans="1:11" x14ac:dyDescent="0.25">
      <c r="A95" s="12" t="s">
        <v>192</v>
      </c>
      <c r="B95" s="21" t="s">
        <v>192</v>
      </c>
      <c r="C95" s="12" t="str">
        <f>_xlfn.XLOOKUP(Table33[[#This Row],[UN Country Name]],Table1[country_name],Table1[country_ISO3],"check")</f>
        <v>MOZ</v>
      </c>
      <c r="D95" s="13">
        <v>1.32505752901722</v>
      </c>
      <c r="E95" s="13">
        <v>0.18716353700884789</v>
      </c>
      <c r="F95" s="13">
        <v>0.18035581771477499</v>
      </c>
      <c r="G95" s="13">
        <v>0.59786090167443628</v>
      </c>
      <c r="H95" s="18">
        <v>2.2904377854152793</v>
      </c>
      <c r="I95" s="18">
        <v>0.49299999999999999</v>
      </c>
      <c r="K95" s="21">
        <v>33635.199999999997</v>
      </c>
    </row>
    <row r="96" spans="1:11" x14ac:dyDescent="0.25">
      <c r="A96" s="12" t="s">
        <v>159</v>
      </c>
      <c r="B96" t="s">
        <v>159</v>
      </c>
      <c r="C96" t="str">
        <f>_xlfn.XLOOKUP(Table33[[#This Row],[UN Country Name]],Table1[country_name],Table1[country_ISO3],"check")</f>
        <v>MMR</v>
      </c>
      <c r="D96" s="13">
        <v>2.7932911046333344</v>
      </c>
      <c r="E96" s="13">
        <v>0.12434942679065575</v>
      </c>
      <c r="F96" s="13">
        <v>0.43325681921461268</v>
      </c>
      <c r="G96" s="13">
        <v>0.91447729514647036</v>
      </c>
      <c r="H96" s="18">
        <v>4.265374645785073</v>
      </c>
      <c r="I96" s="18">
        <v>0.60899999999999999</v>
      </c>
      <c r="J96">
        <v>1.1421360037536623</v>
      </c>
      <c r="K96">
        <v>54133.8</v>
      </c>
    </row>
    <row r="97" spans="1:11" x14ac:dyDescent="0.25">
      <c r="A97" s="12" t="s">
        <v>145</v>
      </c>
      <c r="B97" s="12" t="s">
        <v>145</v>
      </c>
      <c r="C97" s="12" t="str">
        <f>_xlfn.XLOOKUP(Table33[[#This Row],[UN Country Name]],Table1[country_name],Table1[country_ISO3],"check")</f>
        <v>NAM</v>
      </c>
      <c r="D97" s="13">
        <v>2.0980331343293654</v>
      </c>
      <c r="E97" s="13">
        <v>0.61911079312474482</v>
      </c>
      <c r="F97" s="13">
        <v>6.7728803377555185</v>
      </c>
      <c r="G97" s="13">
        <v>1.7845590245318232</v>
      </c>
      <c r="H97" s="18">
        <v>11.274583289741452</v>
      </c>
      <c r="I97" s="18">
        <v>0.66500000000000004</v>
      </c>
      <c r="K97">
        <v>2963.09</v>
      </c>
    </row>
    <row r="98" spans="1:11" x14ac:dyDescent="0.25">
      <c r="A98" s="12" t="s">
        <v>154</v>
      </c>
      <c r="B98" s="21" t="s">
        <v>154</v>
      </c>
      <c r="C98" s="12" t="str">
        <f>_xlfn.XLOOKUP(Table33[[#This Row],[UN Country Name]],Table1[country_name],Table1[country_ISO3],"check")</f>
        <v>NPL</v>
      </c>
      <c r="D98" s="13">
        <v>2.9259903147373598</v>
      </c>
      <c r="E98" s="13">
        <v>0.35651855892990647</v>
      </c>
      <c r="F98" s="13">
        <v>0.31086860910737979</v>
      </c>
      <c r="G98" s="13">
        <v>4.6763485953675081</v>
      </c>
      <c r="H98" s="18">
        <v>8.2697260781421544</v>
      </c>
      <c r="I98" s="18">
        <v>0.622</v>
      </c>
      <c r="K98" s="21">
        <v>29694.6</v>
      </c>
    </row>
    <row r="99" spans="1:11" x14ac:dyDescent="0.25">
      <c r="A99" s="12" t="s">
        <v>16</v>
      </c>
      <c r="B99" s="12" t="s">
        <v>16</v>
      </c>
      <c r="C99" s="12" t="str">
        <f>_xlfn.XLOOKUP(Table33[[#This Row],[UN Country Name]],Table1[country_name],Table1[country_ISO3],"check")</f>
        <v>NLD</v>
      </c>
      <c r="D99" s="13">
        <v>6.4032666574547461</v>
      </c>
      <c r="E99" s="13">
        <v>5.7860378609921241</v>
      </c>
      <c r="F99" s="13">
        <v>3.1527814840403483</v>
      </c>
      <c r="G99" s="13">
        <v>16.454625673621667</v>
      </c>
      <c r="H99" s="18">
        <v>31.796711676108885</v>
      </c>
      <c r="I99" s="18">
        <v>0.95499999999999996</v>
      </c>
      <c r="K99">
        <v>18092.5</v>
      </c>
    </row>
    <row r="100" spans="1:11" x14ac:dyDescent="0.25">
      <c r="A100" s="12" t="s">
        <v>25</v>
      </c>
      <c r="B100" s="21" t="s">
        <v>25</v>
      </c>
      <c r="C100" s="12" t="str">
        <f>_xlfn.XLOOKUP(Table33[[#This Row],[UN Country Name]],Table1[country_name],Table1[country_ISO3],"check")</f>
        <v>NZL</v>
      </c>
      <c r="D100" s="13">
        <v>11.954015975750265</v>
      </c>
      <c r="E100" s="13">
        <v>6.383535156703088</v>
      </c>
      <c r="F100" s="13">
        <v>3.1576317844742925</v>
      </c>
      <c r="G100" s="13">
        <v>11.924749267327039</v>
      </c>
      <c r="H100" s="18">
        <v>33.419932184254684</v>
      </c>
      <c r="I100" s="18">
        <v>0.93799999999999994</v>
      </c>
      <c r="K100" s="21">
        <v>5172.84</v>
      </c>
    </row>
    <row r="101" spans="1:11" x14ac:dyDescent="0.25">
      <c r="A101" s="12" t="s">
        <v>131</v>
      </c>
      <c r="B101" s="21" t="s">
        <v>131</v>
      </c>
      <c r="C101" s="12" t="str">
        <f>_xlfn.XLOOKUP(Table33[[#This Row],[UN Country Name]],Table1[country_name],Table1[country_ISO3],"check")</f>
        <v>NIC</v>
      </c>
      <c r="D101" s="13">
        <v>4.6401324225739744</v>
      </c>
      <c r="E101" s="13">
        <v>0.51583033027971992</v>
      </c>
      <c r="F101" s="13">
        <v>0.26741636758255527</v>
      </c>
      <c r="G101" s="13">
        <v>3.6993021289317531</v>
      </c>
      <c r="H101" s="18">
        <v>9.1226812493680036</v>
      </c>
      <c r="I101" s="18">
        <v>0.70599999999999996</v>
      </c>
      <c r="K101" s="21">
        <v>6823.61</v>
      </c>
    </row>
    <row r="102" spans="1:11" x14ac:dyDescent="0.25">
      <c r="A102" s="12" t="s">
        <v>199</v>
      </c>
      <c r="B102" s="21" t="s">
        <v>199</v>
      </c>
      <c r="C102" s="12" t="str">
        <f>_xlfn.XLOOKUP(Table33[[#This Row],[UN Country Name]],Table1[country_name],Table1[country_ISO3],"check")</f>
        <v>NER</v>
      </c>
      <c r="D102" s="13">
        <v>2.6415899525609809</v>
      </c>
      <c r="E102" s="13">
        <v>5.5221426687410882E-2</v>
      </c>
      <c r="F102" s="13">
        <v>0.11250819001601688</v>
      </c>
      <c r="G102" s="13">
        <v>0.94105474409305845</v>
      </c>
      <c r="H102" s="18">
        <v>3.750374313357467</v>
      </c>
      <c r="I102" s="18">
        <v>0.41899999999999998</v>
      </c>
      <c r="J102">
        <v>1.2591284752617555</v>
      </c>
      <c r="K102" s="21">
        <v>26159.9</v>
      </c>
    </row>
    <row r="103" spans="1:11" x14ac:dyDescent="0.25">
      <c r="A103" s="12" t="s">
        <v>173</v>
      </c>
      <c r="B103" s="21" t="s">
        <v>173</v>
      </c>
      <c r="C103" s="12" t="str">
        <f>_xlfn.XLOOKUP(Table33[[#This Row],[UN Country Name]],Table1[country_name],Table1[country_ISO3],"check")</f>
        <v>NGA</v>
      </c>
      <c r="D103" s="13">
        <v>2.2525970168902463</v>
      </c>
      <c r="E103" s="13">
        <v>7.398533019137013E-2</v>
      </c>
      <c r="F103" s="13">
        <v>6.9428987682275553E-2</v>
      </c>
      <c r="G103" s="13">
        <v>0.7478956306525717</v>
      </c>
      <c r="H103" s="18">
        <v>3.1439069654164635</v>
      </c>
      <c r="I103" s="18">
        <v>0.56000000000000005</v>
      </c>
      <c r="J103">
        <v>0.76883749555693048</v>
      </c>
      <c r="K103" s="21">
        <v>227883</v>
      </c>
    </row>
    <row r="104" spans="1:11" x14ac:dyDescent="0.25">
      <c r="A104" s="12" t="s">
        <v>517</v>
      </c>
      <c r="B104" s="21" t="s">
        <v>345</v>
      </c>
      <c r="C104" s="12" t="str">
        <f>_xlfn.XLOOKUP(Table33[[#This Row],[UN Country Name]],Table1[country_name],Table1[country_ISO3],"check")</f>
        <v>PRK</v>
      </c>
      <c r="D104" s="13">
        <v>1.109977969732987</v>
      </c>
      <c r="E104" s="13">
        <v>0.47724795784724167</v>
      </c>
      <c r="F104" s="13">
        <v>0.43823833569281784</v>
      </c>
      <c r="G104" s="13">
        <v>2.1783885730291996</v>
      </c>
      <c r="H104" s="18">
        <v>4.2038528363022465</v>
      </c>
      <c r="I104" s="18"/>
      <c r="K104" s="21">
        <v>26418.2</v>
      </c>
    </row>
    <row r="105" spans="1:11" x14ac:dyDescent="0.25">
      <c r="A105" s="12" t="s">
        <v>75</v>
      </c>
      <c r="B105" s="21" t="s">
        <v>413</v>
      </c>
      <c r="C105" s="12" t="str">
        <f>_xlfn.XLOOKUP(Table33[[#This Row],[UN Country Name]],Table1[country_name],Table1[country_ISO3],"check")</f>
        <v>MKD</v>
      </c>
      <c r="D105" s="13">
        <v>2.600794300687848</v>
      </c>
      <c r="E105" s="13">
        <v>2.7628829566546567</v>
      </c>
      <c r="F105" s="13">
        <v>2.3354012446773664</v>
      </c>
      <c r="G105" s="13">
        <v>2.9189158205044219</v>
      </c>
      <c r="H105" s="18">
        <v>10.617994322524293</v>
      </c>
      <c r="I105" s="18">
        <v>0.81499999999999995</v>
      </c>
      <c r="J105">
        <v>3.2108963860683479</v>
      </c>
      <c r="K105" s="21">
        <v>1831.8</v>
      </c>
    </row>
    <row r="106" spans="1:11" x14ac:dyDescent="0.25">
      <c r="A106" s="12" t="s">
        <v>9</v>
      </c>
      <c r="B106" s="21" t="s">
        <v>9</v>
      </c>
      <c r="C106" s="12" t="str">
        <f>_xlfn.XLOOKUP(Table33[[#This Row],[UN Country Name]],Table1[country_name],Table1[country_ISO3],"check")</f>
        <v>NOR</v>
      </c>
      <c r="D106" s="13">
        <v>7.4926536055240192</v>
      </c>
      <c r="E106" s="13">
        <v>6.5314866184589349</v>
      </c>
      <c r="F106" s="13">
        <v>3.1102301614191989</v>
      </c>
      <c r="G106" s="13">
        <v>20.083093472388057</v>
      </c>
      <c r="H106" s="18">
        <v>37.217463857790214</v>
      </c>
      <c r="I106" s="18">
        <v>0.97</v>
      </c>
      <c r="J106">
        <v>4.3762353759713868</v>
      </c>
      <c r="K106" s="21">
        <v>5519.17</v>
      </c>
    </row>
    <row r="107" spans="1:11" x14ac:dyDescent="0.25">
      <c r="A107" s="12" t="s">
        <v>57</v>
      </c>
      <c r="B107" s="21" t="s">
        <v>57</v>
      </c>
      <c r="C107" s="12" t="str">
        <f>_xlfn.XLOOKUP(Table33[[#This Row],[UN Country Name]],Table1[country_name],Table1[country_ISO3],"check")</f>
        <v>OMN</v>
      </c>
      <c r="D107" s="13">
        <v>5.376328657409883</v>
      </c>
      <c r="E107" s="13">
        <v>2.4973310993470341</v>
      </c>
      <c r="F107" s="13">
        <v>4.0632673634010459</v>
      </c>
      <c r="G107" s="13">
        <v>23.443211196866081</v>
      </c>
      <c r="H107" s="18">
        <v>35.380138317024048</v>
      </c>
      <c r="I107" s="18">
        <v>0.85799999999999998</v>
      </c>
      <c r="J107">
        <v>5.2674430165152586</v>
      </c>
      <c r="K107" s="21">
        <v>5049.2700000000004</v>
      </c>
    </row>
    <row r="108" spans="1:11" x14ac:dyDescent="0.25">
      <c r="A108" s="12" t="s">
        <v>178</v>
      </c>
      <c r="B108" s="21" t="s">
        <v>178</v>
      </c>
      <c r="C108" s="12" t="str">
        <f>_xlfn.XLOOKUP(Table33[[#This Row],[UN Country Name]],Table1[country_name],Table1[country_ISO3],"check")</f>
        <v>PAK</v>
      </c>
      <c r="D108" s="13">
        <v>2.0177069138276553</v>
      </c>
      <c r="E108" s="13">
        <v>0.31465253894886547</v>
      </c>
      <c r="F108" s="13">
        <v>8.4853812463636949E-2</v>
      </c>
      <c r="G108" s="13">
        <v>1.4077253620143513</v>
      </c>
      <c r="H108" s="18">
        <v>3.8249386272545092</v>
      </c>
      <c r="I108" s="18">
        <v>0.54400000000000004</v>
      </c>
      <c r="J108">
        <v>0.73331238687051525</v>
      </c>
      <c r="K108" s="21">
        <v>247504</v>
      </c>
    </row>
    <row r="109" spans="1:11" x14ac:dyDescent="0.25">
      <c r="A109" s="12" t="s">
        <v>519</v>
      </c>
      <c r="B109" s="21" t="s">
        <v>450</v>
      </c>
      <c r="C109" s="12" t="str">
        <f>_xlfn.XLOOKUP(Table33[[#This Row],[UN Country Name]],Table1[country_name],Table1[country_ISO3],"check")</f>
        <v>PSE</v>
      </c>
      <c r="D109" s="13">
        <v>1.1539013162759744</v>
      </c>
      <c r="E109" s="13">
        <v>0.65610866671596535</v>
      </c>
      <c r="F109" s="13">
        <v>0.24971437550839312</v>
      </c>
      <c r="G109" s="13">
        <v>2.8058949567403682</v>
      </c>
      <c r="H109">
        <v>4.8656193152407008</v>
      </c>
      <c r="I109" s="9">
        <v>0.67400000000000004</v>
      </c>
      <c r="K109" s="21">
        <v>5409.2</v>
      </c>
    </row>
    <row r="110" spans="1:11" x14ac:dyDescent="0.25">
      <c r="A110" s="12" t="s">
        <v>66</v>
      </c>
      <c r="B110" s="21" t="s">
        <v>66</v>
      </c>
      <c r="C110" s="12" t="str">
        <f>_xlfn.XLOOKUP(Table33[[#This Row],[UN Country Name]],Table1[country_name],Table1[country_ISO3],"check")</f>
        <v>PAN</v>
      </c>
      <c r="D110" s="13">
        <v>5.6589130161749006</v>
      </c>
      <c r="E110" s="13">
        <v>4.8220482824821254</v>
      </c>
      <c r="F110" s="13">
        <v>3.3385378446025351</v>
      </c>
      <c r="G110" s="13">
        <v>24.767416277171233</v>
      </c>
      <c r="H110" s="18">
        <v>38.586915420430792</v>
      </c>
      <c r="I110" s="18">
        <v>0.83899999999999997</v>
      </c>
      <c r="K110" s="21">
        <v>4458.76</v>
      </c>
    </row>
    <row r="111" spans="1:11" x14ac:dyDescent="0.25">
      <c r="A111" s="12" t="s">
        <v>169</v>
      </c>
      <c r="B111" s="21" t="s">
        <v>169</v>
      </c>
      <c r="C111" s="12" t="str">
        <f>_xlfn.XLOOKUP(Table33[[#This Row],[UN Country Name]],Table1[country_name],Table1[country_ISO3],"check")</f>
        <v>PNG</v>
      </c>
      <c r="D111" s="13">
        <v>1.5122050897050896</v>
      </c>
      <c r="E111" s="13">
        <v>0.18591764841764841</v>
      </c>
      <c r="F111" s="13">
        <v>0.12282166782166783</v>
      </c>
      <c r="G111" s="13">
        <v>0.47566585816585816</v>
      </c>
      <c r="H111" s="18">
        <v>2.2966102641102641</v>
      </c>
      <c r="I111" s="18">
        <v>0.57599999999999996</v>
      </c>
      <c r="K111" s="21">
        <v>10389.6</v>
      </c>
    </row>
    <row r="112" spans="1:11" x14ac:dyDescent="0.25">
      <c r="A112" s="12" t="s">
        <v>107</v>
      </c>
      <c r="B112" s="21" t="s">
        <v>107</v>
      </c>
      <c r="C112" s="12" t="str">
        <f>_xlfn.XLOOKUP(Table33[[#This Row],[UN Country Name]],Table1[country_name],Table1[country_ISO3],"check")</f>
        <v>PRY</v>
      </c>
      <c r="D112" s="13">
        <v>6.8795645916585695</v>
      </c>
      <c r="E112" s="13">
        <v>0.5295468392714946</v>
      </c>
      <c r="F112" s="13">
        <v>0.47496971866484516</v>
      </c>
      <c r="G112" s="13">
        <v>6.7141459494604883</v>
      </c>
      <c r="H112" s="18">
        <v>14.598227099055398</v>
      </c>
      <c r="I112" s="18">
        <v>0.75600000000000001</v>
      </c>
      <c r="J112">
        <v>2.4389713843209164</v>
      </c>
      <c r="K112" s="21">
        <v>6844.15</v>
      </c>
    </row>
    <row r="113" spans="1:11" x14ac:dyDescent="0.25">
      <c r="A113" s="12" t="s">
        <v>87</v>
      </c>
      <c r="B113" s="21" t="s">
        <v>87</v>
      </c>
      <c r="C113" s="12" t="str">
        <f>_xlfn.XLOOKUP(Table33[[#This Row],[UN Country Name]],Table1[country_name],Table1[country_ISO3],"check")</f>
        <v>PER</v>
      </c>
      <c r="D113" s="13">
        <v>3.2490009631975796</v>
      </c>
      <c r="E113" s="13">
        <v>0.79422338501902756</v>
      </c>
      <c r="F113" s="13">
        <v>0.58862132743990359</v>
      </c>
      <c r="G113" s="13">
        <v>2.0446098458883872</v>
      </c>
      <c r="H113" s="18">
        <v>6.6764555215448977</v>
      </c>
      <c r="I113" s="18">
        <v>0.79400000000000004</v>
      </c>
      <c r="J113">
        <v>2.3667607310846903</v>
      </c>
      <c r="K113" s="21">
        <v>33845.599999999999</v>
      </c>
    </row>
    <row r="114" spans="1:11" x14ac:dyDescent="0.25">
      <c r="A114" s="12" t="s">
        <v>127</v>
      </c>
      <c r="B114" s="21" t="s">
        <v>127</v>
      </c>
      <c r="C114" s="12" t="str">
        <f>_xlfn.XLOOKUP(Table33[[#This Row],[UN Country Name]],Table1[country_name],Table1[country_ISO3],"check")</f>
        <v>PHL</v>
      </c>
      <c r="D114" s="13">
        <v>2.3158834634566676</v>
      </c>
      <c r="E114" s="13">
        <v>0.72651001383920411</v>
      </c>
      <c r="F114" s="13">
        <v>0.39814416272815101</v>
      </c>
      <c r="G114" s="13">
        <v>5.3408768136755711</v>
      </c>
      <c r="H114" s="18">
        <v>8.7814144536995933</v>
      </c>
      <c r="I114" s="18">
        <v>0.72</v>
      </c>
      <c r="J114">
        <v>1.4536319468017511</v>
      </c>
      <c r="K114" s="21">
        <v>114891</v>
      </c>
    </row>
    <row r="115" spans="1:11" x14ac:dyDescent="0.25">
      <c r="A115" s="12" t="s">
        <v>42</v>
      </c>
      <c r="B115" s="21" t="s">
        <v>42</v>
      </c>
      <c r="C115" s="12" t="str">
        <f>_xlfn.XLOOKUP(Table33[[#This Row],[UN Country Name]],Table1[country_name],Table1[country_ISO3],"check")</f>
        <v>POL</v>
      </c>
      <c r="D115" s="13">
        <v>4.2943619397979509</v>
      </c>
      <c r="E115" s="13">
        <v>4.0812810736066538</v>
      </c>
      <c r="F115" s="13">
        <v>1.2795109228435511</v>
      </c>
      <c r="G115" s="13">
        <v>5.6597554872197051</v>
      </c>
      <c r="H115" s="18">
        <v>15.314909423467862</v>
      </c>
      <c r="I115" s="18">
        <v>0.90600000000000003</v>
      </c>
      <c r="J115">
        <v>4.3417913308636118</v>
      </c>
      <c r="K115" s="21">
        <v>38762.800000000003</v>
      </c>
    </row>
    <row r="116" spans="1:11" x14ac:dyDescent="0.25">
      <c r="A116" s="12" t="s">
        <v>47</v>
      </c>
      <c r="B116" s="21" t="s">
        <v>47</v>
      </c>
      <c r="C116" s="12" t="str">
        <f>_xlfn.XLOOKUP(Table33[[#This Row],[UN Country Name]],Table1[country_name],Table1[country_ISO3],"check")</f>
        <v>PRT</v>
      </c>
      <c r="D116" s="13">
        <v>4.0369003039105715</v>
      </c>
      <c r="E116" s="13">
        <v>3.5772560806082048</v>
      </c>
      <c r="F116" s="13">
        <v>1.0865568945516599</v>
      </c>
      <c r="G116" s="13">
        <v>5.5677472269358717</v>
      </c>
      <c r="H116" s="18">
        <v>14.268460506006308</v>
      </c>
      <c r="I116" s="18">
        <v>0.89</v>
      </c>
      <c r="J116">
        <v>4.419888118726452</v>
      </c>
      <c r="K116" s="21">
        <v>10430.700000000001</v>
      </c>
    </row>
    <row r="117" spans="1:11" x14ac:dyDescent="0.25">
      <c r="A117" s="12" t="s">
        <v>50</v>
      </c>
      <c r="B117" s="21" t="s">
        <v>50</v>
      </c>
      <c r="C117" s="12" t="str">
        <f>_xlfn.XLOOKUP(Table33[[#This Row],[UN Country Name]],Table1[country_name],Table1[country_ISO3],"check")</f>
        <v>QAT</v>
      </c>
      <c r="D117" s="13">
        <v>7.5481262671697307</v>
      </c>
      <c r="E117" s="13">
        <v>3.9097493185815755</v>
      </c>
      <c r="F117" s="13">
        <v>5.8345391865945189</v>
      </c>
      <c r="G117" s="13">
        <v>50.310652953260735</v>
      </c>
      <c r="H117" s="18">
        <v>67.603067725606564</v>
      </c>
      <c r="I117" s="18">
        <v>0.88600000000000001</v>
      </c>
      <c r="J117">
        <v>12.055422479423177</v>
      </c>
      <c r="K117" s="21">
        <v>2979.08</v>
      </c>
    </row>
    <row r="118" spans="1:11" x14ac:dyDescent="0.25">
      <c r="A118" s="12" t="s">
        <v>520</v>
      </c>
      <c r="B118" s="21" t="s">
        <v>147</v>
      </c>
      <c r="C118" s="12" t="str">
        <f>_xlfn.XLOOKUP(Table33[[#This Row],[UN Country Name]],Table1[country_name],Table1[country_ISO3],"check")</f>
        <v>COG</v>
      </c>
      <c r="D118" s="13">
        <v>1.2368499792976735</v>
      </c>
      <c r="E118" s="13">
        <v>0.13119258339155862</v>
      </c>
      <c r="F118" s="13">
        <v>0.10197141138110395</v>
      </c>
      <c r="G118" s="13">
        <v>1.9604765093289858</v>
      </c>
      <c r="H118">
        <v>3.4304904833993222</v>
      </c>
      <c r="I118" s="9">
        <v>0.64900000000000002</v>
      </c>
      <c r="J118">
        <v>1.0181255337318531</v>
      </c>
      <c r="K118" s="21">
        <v>6182.88</v>
      </c>
    </row>
    <row r="119" spans="1:11" x14ac:dyDescent="0.25">
      <c r="A119" s="12" t="s">
        <v>63</v>
      </c>
      <c r="B119" s="21" t="s">
        <v>63</v>
      </c>
      <c r="C119" s="12" t="str">
        <f>_xlfn.XLOOKUP(Table33[[#This Row],[UN Country Name]],Table1[country_name],Table1[country_ISO3],"check")</f>
        <v>ROU</v>
      </c>
      <c r="D119" s="13">
        <v>4.8856652457044225</v>
      </c>
      <c r="E119" s="13">
        <v>3.834711771320972</v>
      </c>
      <c r="F119" s="13">
        <v>1.0644623270654079</v>
      </c>
      <c r="G119" s="13">
        <v>9.5987272537071426</v>
      </c>
      <c r="H119">
        <v>19.383566597797945</v>
      </c>
      <c r="I119">
        <v>0.84499999999999997</v>
      </c>
      <c r="J119">
        <v>3.0507024609671261</v>
      </c>
      <c r="K119" s="21">
        <v>19118.5</v>
      </c>
    </row>
    <row r="120" spans="1:11" x14ac:dyDescent="0.25">
      <c r="A120" s="12" t="s">
        <v>71</v>
      </c>
      <c r="B120" s="21" t="s">
        <v>71</v>
      </c>
      <c r="C120" s="12" t="str">
        <f>_xlfn.XLOOKUP(Table33[[#This Row],[UN Country Name]],Table1[country_name],Table1[country_ISO3],"check")</f>
        <v>RUS</v>
      </c>
      <c r="D120" s="13">
        <v>3.9486740099009903</v>
      </c>
      <c r="E120" s="13">
        <v>2.4382724972497249</v>
      </c>
      <c r="F120" s="13">
        <v>1.1177042147964797</v>
      </c>
      <c r="G120" s="13">
        <v>4.1024467409240923</v>
      </c>
      <c r="H120" s="18">
        <v>11.607097462871288</v>
      </c>
      <c r="I120" s="18">
        <v>0.83199999999999996</v>
      </c>
      <c r="J120">
        <v>5.3576891157865782</v>
      </c>
      <c r="K120" s="21">
        <v>145440</v>
      </c>
    </row>
    <row r="121" spans="1:11" x14ac:dyDescent="0.25">
      <c r="A121" s="12" t="s">
        <v>168</v>
      </c>
      <c r="B121" s="21" t="s">
        <v>168</v>
      </c>
      <c r="C121" s="12" t="str">
        <f>_xlfn.XLOOKUP(Table33[[#This Row],[UN Country Name]],Table1[country_name],Table1[country_ISO3],"check")</f>
        <v>RWA</v>
      </c>
      <c r="D121" s="13">
        <v>1.5593626428750582</v>
      </c>
      <c r="E121" s="13">
        <v>0.15899294134508582</v>
      </c>
      <c r="F121" s="13">
        <v>0.16408685370310652</v>
      </c>
      <c r="G121" s="13">
        <v>1.5513359131462969</v>
      </c>
      <c r="H121" s="18">
        <v>3.4337783510695474</v>
      </c>
      <c r="I121" s="18">
        <v>0.57799999999999996</v>
      </c>
      <c r="J121">
        <v>0.84834719982801243</v>
      </c>
      <c r="K121" s="21">
        <v>13954.5</v>
      </c>
    </row>
    <row r="122" spans="1:11" x14ac:dyDescent="0.25">
      <c r="A122" s="12" t="s">
        <v>44</v>
      </c>
      <c r="B122" s="21" t="s">
        <v>44</v>
      </c>
      <c r="C122" s="12" t="str">
        <f>_xlfn.XLOOKUP(Table33[[#This Row],[UN Country Name]],Table1[country_name],Table1[country_ISO3],"check")</f>
        <v>SAU</v>
      </c>
      <c r="D122" s="13">
        <v>2.8584125323545058</v>
      </c>
      <c r="E122" s="13">
        <v>3.8668597565558267</v>
      </c>
      <c r="F122" s="13">
        <v>2.6640168889770712</v>
      </c>
      <c r="G122" s="13">
        <v>16.745130184612329</v>
      </c>
      <c r="H122" s="18">
        <v>26.134419362499735</v>
      </c>
      <c r="I122" s="18">
        <v>0.9</v>
      </c>
      <c r="K122" s="21">
        <v>33264.300000000003</v>
      </c>
    </row>
    <row r="123" spans="1:11" x14ac:dyDescent="0.25">
      <c r="A123" s="12" t="s">
        <v>179</v>
      </c>
      <c r="B123" s="21" t="s">
        <v>179</v>
      </c>
      <c r="C123" s="12" t="str">
        <f>_xlfn.XLOOKUP(Table33[[#This Row],[UN Country Name]],Table1[country_name],Table1[country_ISO3],"check")</f>
        <v>SEN</v>
      </c>
      <c r="D123" s="13">
        <v>3.1986742709209186</v>
      </c>
      <c r="E123" s="13">
        <v>0.27372073726600876</v>
      </c>
      <c r="F123" s="13">
        <v>0.14618516838518386</v>
      </c>
      <c r="G123" s="13">
        <v>1.6885961078904279</v>
      </c>
      <c r="H123" s="18">
        <v>5.307176284462539</v>
      </c>
      <c r="I123" s="18">
        <v>0.53</v>
      </c>
      <c r="J123">
        <v>1.5850673762003806</v>
      </c>
      <c r="K123" s="21">
        <v>18077.599999999999</v>
      </c>
    </row>
    <row r="124" spans="1:11" x14ac:dyDescent="0.25">
      <c r="A124" s="12" t="s">
        <v>70</v>
      </c>
      <c r="B124" s="21" t="s">
        <v>70</v>
      </c>
      <c r="C124" s="12" t="str">
        <f>_xlfn.XLOOKUP(Table33[[#This Row],[UN Country Name]],Table1[country_name],Table1[country_ISO3],"check")</f>
        <v>SRB</v>
      </c>
      <c r="D124" s="13">
        <v>5.5728113742396506</v>
      </c>
      <c r="E124" s="13">
        <v>5.3810455914486504</v>
      </c>
      <c r="F124" s="13">
        <v>0.52348476347959605</v>
      </c>
      <c r="G124" s="13">
        <v>6.1626198842496898</v>
      </c>
      <c r="H124" s="18">
        <v>17.639961613417587</v>
      </c>
      <c r="I124" s="18">
        <v>0.83299999999999996</v>
      </c>
      <c r="J124">
        <v>4.2477390302958717</v>
      </c>
      <c r="K124" s="21">
        <v>6773.2</v>
      </c>
    </row>
    <row r="125" spans="1:11" x14ac:dyDescent="0.25">
      <c r="A125" s="12" t="s">
        <v>195</v>
      </c>
      <c r="B125" s="21" t="s">
        <v>195</v>
      </c>
      <c r="C125" s="12" t="str">
        <f>_xlfn.XLOOKUP(Table33[[#This Row],[UN Country Name]],Table1[country_name],Table1[country_ISO3],"check")</f>
        <v>SLE</v>
      </c>
      <c r="D125" s="13">
        <v>1.7727750454759819</v>
      </c>
      <c r="E125" s="13">
        <v>6.0306766376967816E-2</v>
      </c>
      <c r="F125" s="13">
        <v>3.5566886629765815E-2</v>
      </c>
      <c r="G125" s="13">
        <v>1.1894379889628404</v>
      </c>
      <c r="H125" s="18">
        <v>3.0580866874455559</v>
      </c>
      <c r="I125" s="18">
        <v>0.46700000000000003</v>
      </c>
      <c r="J125">
        <v>1.0127038440945049</v>
      </c>
      <c r="K125" s="21">
        <v>8460.51</v>
      </c>
    </row>
    <row r="126" spans="1:11" x14ac:dyDescent="0.25">
      <c r="A126" s="12" t="s">
        <v>20</v>
      </c>
      <c r="B126" s="21" t="s">
        <v>20</v>
      </c>
      <c r="C126" s="12" t="str">
        <f>_xlfn.XLOOKUP(Table33[[#This Row],[UN Country Name]],Table1[country_name],Table1[country_ISO3],"check")</f>
        <v>SGP</v>
      </c>
      <c r="D126" s="13">
        <v>6.66605718688084</v>
      </c>
      <c r="E126" s="13">
        <v>9.3379292773130143</v>
      </c>
      <c r="F126" s="13">
        <v>5.5842861313263397</v>
      </c>
      <c r="G126" s="13">
        <v>33.519152923861952</v>
      </c>
      <c r="H126" s="18">
        <v>55.107425519382147</v>
      </c>
      <c r="I126" s="18">
        <v>0.94599999999999995</v>
      </c>
      <c r="K126" s="21">
        <v>5789.09</v>
      </c>
    </row>
    <row r="127" spans="1:11" x14ac:dyDescent="0.25">
      <c r="A127" s="12" t="s">
        <v>51</v>
      </c>
      <c r="B127" s="21" t="s">
        <v>51</v>
      </c>
      <c r="C127" s="12" t="str">
        <f>_xlfn.XLOOKUP(Table33[[#This Row],[UN Country Name]],Table1[country_name],Table1[country_ISO3],"check")</f>
        <v>SVK</v>
      </c>
      <c r="D127" s="13">
        <v>3.8205914759897501</v>
      </c>
      <c r="E127" s="13">
        <v>4.6983907387741342</v>
      </c>
      <c r="F127" s="13">
        <v>1.5106086196960526</v>
      </c>
      <c r="G127" s="13">
        <v>7.0883315875506971</v>
      </c>
      <c r="H127" s="18">
        <v>17.117922422010633</v>
      </c>
      <c r="I127" s="18">
        <v>0.88</v>
      </c>
      <c r="J127">
        <v>4.2650431492227341</v>
      </c>
      <c r="K127" s="21">
        <v>5518.06</v>
      </c>
    </row>
    <row r="128" spans="1:11" x14ac:dyDescent="0.25">
      <c r="A128" s="12" t="s">
        <v>28</v>
      </c>
      <c r="B128" s="21" t="s">
        <v>28</v>
      </c>
      <c r="C128" s="12" t="str">
        <f>_xlfn.XLOOKUP(Table33[[#This Row],[UN Country Name]],Table1[country_name],Table1[country_ISO3],"check")</f>
        <v>SVN</v>
      </c>
      <c r="D128" s="13">
        <v>4.6131202794561936</v>
      </c>
      <c r="E128" s="13">
        <v>4.0215393693353478</v>
      </c>
      <c r="F128" s="13">
        <v>1.6916059290030212</v>
      </c>
      <c r="G128" s="13">
        <v>10.524843277945619</v>
      </c>
      <c r="H128" s="18">
        <v>20.851108855740183</v>
      </c>
      <c r="I128" s="18">
        <v>0.93100000000000005</v>
      </c>
      <c r="J128">
        <v>5.1880187877643502</v>
      </c>
      <c r="K128" s="21">
        <v>2118.4</v>
      </c>
    </row>
    <row r="129" spans="1:11" x14ac:dyDescent="0.25">
      <c r="A129" s="12" t="s">
        <v>202</v>
      </c>
      <c r="B129" s="21" t="s">
        <v>202</v>
      </c>
      <c r="C129" s="12" t="str">
        <f>_xlfn.XLOOKUP(Table33[[#This Row],[UN Country Name]],Table1[country_name],Table1[country_ISO3],"check")</f>
        <v>SOM</v>
      </c>
      <c r="D129" s="13">
        <v>3.1279064307735882</v>
      </c>
      <c r="E129" s="13">
        <v>9.5239506280435329E-2</v>
      </c>
      <c r="F129" s="13">
        <v>0.10913925898488991</v>
      </c>
      <c r="G129" s="13">
        <v>0.32696305818526467</v>
      </c>
      <c r="H129" s="18">
        <v>3.6592482542241784</v>
      </c>
      <c r="I129" s="18">
        <v>0.40400000000000003</v>
      </c>
      <c r="J129">
        <v>0.85990527600143807</v>
      </c>
      <c r="K129" s="21">
        <v>18358.599999999999</v>
      </c>
    </row>
    <row r="130" spans="1:11" x14ac:dyDescent="0.25">
      <c r="A130" s="12" t="s">
        <v>114</v>
      </c>
      <c r="B130" s="21" t="s">
        <v>114</v>
      </c>
      <c r="C130" s="12" t="str">
        <f>_xlfn.XLOOKUP(Table33[[#This Row],[UN Country Name]],Table1[country_name],Table1[country_ISO3],"check")</f>
        <v>ZAF</v>
      </c>
      <c r="D130" s="13">
        <v>2.7756069378792767</v>
      </c>
      <c r="E130" s="13">
        <v>1.052960147059754</v>
      </c>
      <c r="F130" s="13">
        <v>0.49674218982351565</v>
      </c>
      <c r="G130" s="13">
        <v>1.2305921939366327</v>
      </c>
      <c r="H130" s="18">
        <v>5.5559014686991794</v>
      </c>
      <c r="I130" s="18">
        <v>0.74099999999999999</v>
      </c>
      <c r="J130">
        <v>2.7009919572742058</v>
      </c>
      <c r="K130" s="21">
        <v>63212.4</v>
      </c>
    </row>
    <row r="131" spans="1:11" x14ac:dyDescent="0.25">
      <c r="A131" s="12" t="s">
        <v>522</v>
      </c>
      <c r="B131" s="21" t="s">
        <v>537</v>
      </c>
      <c r="C131" t="s">
        <v>348</v>
      </c>
      <c r="D131" s="13">
        <v>3.0931141458626015</v>
      </c>
      <c r="E131" s="13">
        <v>5.285695312152769</v>
      </c>
      <c r="F131" s="13">
        <v>4.0535034310040636</v>
      </c>
      <c r="G131" s="13">
        <v>11.439548664990618</v>
      </c>
      <c r="H131" s="18">
        <v>23.871861554010053</v>
      </c>
      <c r="I131" s="22">
        <v>0.93700000000000006</v>
      </c>
      <c r="J131">
        <f>Table1[[#This Row],[efc_total_gha, Ecological Footprint of Consumption, which is the nationally consumable product, which is derived as EFP + EFI - EFE]]/(Table1[[#This Row],[pop_1000_persons]]*1000)</f>
        <v>3.3489364709207829</v>
      </c>
      <c r="K131" s="21">
        <v>51748.7</v>
      </c>
    </row>
    <row r="132" spans="1:11" x14ac:dyDescent="0.25">
      <c r="A132" s="12" t="s">
        <v>203</v>
      </c>
      <c r="B132" t="s">
        <v>203</v>
      </c>
      <c r="C132" t="str">
        <f>_xlfn.XLOOKUP(Table33[[#This Row],[UN Country Name]],Table1[country_name],Table1[country_ISO3],"check")</f>
        <v>SSD</v>
      </c>
      <c r="D132" s="13">
        <v>1.8919870421652123</v>
      </c>
      <c r="E132" s="13">
        <v>0.29135386732152496</v>
      </c>
      <c r="F132" s="13">
        <v>3.8109270773464307E-2</v>
      </c>
      <c r="G132" s="13">
        <v>4.1548757336677289E-2</v>
      </c>
      <c r="H132">
        <v>2.2629989375968789</v>
      </c>
      <c r="I132">
        <v>0.38800000000000001</v>
      </c>
      <c r="K132">
        <v>11483.4</v>
      </c>
    </row>
    <row r="133" spans="1:11" x14ac:dyDescent="0.25">
      <c r="A133" s="12" t="s">
        <v>35</v>
      </c>
      <c r="B133" s="21" t="s">
        <v>35</v>
      </c>
      <c r="C133" s="12" t="str">
        <f>_xlfn.XLOOKUP(Table33[[#This Row],[UN Country Name]],Table1[country_name],Table1[country_ISO3],"check")</f>
        <v>ESP</v>
      </c>
      <c r="D133" s="13">
        <v>4.6794643259669888</v>
      </c>
      <c r="E133" s="13">
        <v>2.6806085791332372</v>
      </c>
      <c r="F133" s="13">
        <v>1.8351140016196494</v>
      </c>
      <c r="G133" s="13">
        <v>4.8639372093605724</v>
      </c>
      <c r="H133" s="18">
        <v>14.059124116080449</v>
      </c>
      <c r="I133" s="18">
        <v>0.91800000000000004</v>
      </c>
      <c r="J133">
        <v>3.2139899105853278</v>
      </c>
      <c r="K133" s="21">
        <v>47911.6</v>
      </c>
    </row>
    <row r="134" spans="1:11" x14ac:dyDescent="0.25">
      <c r="A134" s="12" t="s">
        <v>99</v>
      </c>
      <c r="B134" s="21" t="s">
        <v>99</v>
      </c>
      <c r="C134" s="12" t="str">
        <f>_xlfn.XLOOKUP(Table33[[#This Row],[UN Country Name]],Table1[country_name],Table1[country_ISO3],"check")</f>
        <v>LKA</v>
      </c>
      <c r="D134" s="13">
        <v>1.3757735638788766</v>
      </c>
      <c r="E134" s="13">
        <v>0.50480184227480884</v>
      </c>
      <c r="F134" s="13">
        <v>0.35754562155008796</v>
      </c>
      <c r="G134" s="13">
        <v>1.6495520120496614</v>
      </c>
      <c r="H134" s="18">
        <v>3.8876730397534347</v>
      </c>
      <c r="I134" s="18">
        <v>0.77600000000000002</v>
      </c>
      <c r="J134">
        <v>1.244132276376047</v>
      </c>
      <c r="K134" s="21">
        <v>22971.599999999999</v>
      </c>
    </row>
    <row r="135" spans="1:11" x14ac:dyDescent="0.25">
      <c r="A135" s="12" t="s">
        <v>186</v>
      </c>
      <c r="B135" s="21" t="s">
        <v>186</v>
      </c>
      <c r="C135" s="12" t="str">
        <f>_xlfn.XLOOKUP(Table33[[#This Row],[UN Country Name]],Table1[country_name],Table1[country_ISO3],"check")</f>
        <v>SDN</v>
      </c>
      <c r="D135" s="13">
        <v>3.2015366646150896</v>
      </c>
      <c r="E135" s="13">
        <v>6.6365531105373798E-2</v>
      </c>
      <c r="F135" s="13">
        <v>3.1107491986859248E-2</v>
      </c>
      <c r="G135" s="13">
        <v>0.71423985068781126</v>
      </c>
      <c r="H135" s="18">
        <v>4.0132495383951339</v>
      </c>
      <c r="I135" s="18">
        <v>0.51100000000000001</v>
      </c>
      <c r="J135">
        <v>5.2589824478682559</v>
      </c>
      <c r="K135" s="21">
        <v>50042.8</v>
      </c>
    </row>
    <row r="136" spans="1:11" x14ac:dyDescent="0.25">
      <c r="A136" s="12" t="s">
        <v>13</v>
      </c>
      <c r="B136" s="21" t="s">
        <v>13</v>
      </c>
      <c r="C136" s="12" t="str">
        <f>_xlfn.XLOOKUP(Table33[[#This Row],[UN Country Name]],Table1[country_name],Table1[country_ISO3],"check")</f>
        <v>SWE</v>
      </c>
      <c r="D136" s="13">
        <v>6.0373749703833575</v>
      </c>
      <c r="E136" s="13">
        <v>4.259375539022888</v>
      </c>
      <c r="F136" s="13">
        <v>2.9295147609344645</v>
      </c>
      <c r="G136" s="13">
        <v>10.893104203193859</v>
      </c>
      <c r="H136" s="18">
        <v>24.119369473534569</v>
      </c>
      <c r="I136" s="18">
        <v>0.95899999999999996</v>
      </c>
      <c r="J136">
        <v>5.1593200966687203</v>
      </c>
      <c r="K136" s="21">
        <v>10551.5</v>
      </c>
    </row>
    <row r="137" spans="1:11" x14ac:dyDescent="0.25">
      <c r="A137" s="12" t="s">
        <v>10</v>
      </c>
      <c r="B137" s="21" t="s">
        <v>10</v>
      </c>
      <c r="C137" s="12" t="str">
        <f>_xlfn.XLOOKUP(Table33[[#This Row],[UN Country Name]],Table1[country_name],Table1[country_ISO3],"check")</f>
        <v>CHE</v>
      </c>
      <c r="D137" s="13">
        <v>7.6928014691293445</v>
      </c>
      <c r="E137" s="13">
        <v>7.4106793708627192</v>
      </c>
      <c r="F137" s="13">
        <v>3.8326495734203929</v>
      </c>
      <c r="G137" s="13">
        <v>20.561053417146155</v>
      </c>
      <c r="H137" s="18">
        <v>39.497183830558612</v>
      </c>
      <c r="I137" s="18">
        <v>0.97</v>
      </c>
      <c r="J137">
        <v>4.016479793834888</v>
      </c>
      <c r="K137" s="21">
        <v>8870.56</v>
      </c>
    </row>
    <row r="138" spans="1:11" x14ac:dyDescent="0.25">
      <c r="A138" s="12" t="s">
        <v>525</v>
      </c>
      <c r="B138" s="21" t="s">
        <v>171</v>
      </c>
      <c r="C138" s="12" t="str">
        <f>_xlfn.XLOOKUP(Table33[[#This Row],[UN Country Name]],Table1[country_name],Table1[country_ISO3],"check")</f>
        <v>SYR</v>
      </c>
      <c r="D138" s="13">
        <v>0.63978160257007954</v>
      </c>
      <c r="E138" s="13">
        <v>0.16659172013935392</v>
      </c>
      <c r="F138" s="13">
        <v>7.9982029786476561E-2</v>
      </c>
      <c r="G138" s="13">
        <v>1.2890411365312402</v>
      </c>
      <c r="H138" s="18">
        <v>2.1753964890271504</v>
      </c>
      <c r="I138" s="22">
        <v>0.56399999999999995</v>
      </c>
      <c r="J138">
        <v>0.87448547549015454</v>
      </c>
      <c r="K138" s="21">
        <v>23594.6</v>
      </c>
    </row>
    <row r="139" spans="1:11" x14ac:dyDescent="0.25">
      <c r="A139" s="12" t="s">
        <v>137</v>
      </c>
      <c r="B139" s="21" t="s">
        <v>137</v>
      </c>
      <c r="C139" s="12" t="str">
        <f>_xlfn.XLOOKUP(Table33[[#This Row],[UN Country Name]],Table1[country_name],Table1[country_ISO3],"check")</f>
        <v>TJK</v>
      </c>
      <c r="D139" s="13">
        <v>1.7111924194883443</v>
      </c>
      <c r="E139" s="13">
        <v>0.35386292325165064</v>
      </c>
      <c r="F139" s="13">
        <v>0.4407556449594795</v>
      </c>
      <c r="G139" s="13">
        <v>1.0368082157500627</v>
      </c>
      <c r="H139">
        <v>3.542619203449537</v>
      </c>
      <c r="I139">
        <v>0.69099999999999995</v>
      </c>
      <c r="J139">
        <v>1.0517953184854376</v>
      </c>
      <c r="K139" s="21">
        <v>10389.799999999999</v>
      </c>
    </row>
    <row r="140" spans="1:11" x14ac:dyDescent="0.25">
      <c r="A140" s="12" t="s">
        <v>526</v>
      </c>
      <c r="B140" s="21" t="s">
        <v>459</v>
      </c>
      <c r="C140" s="12" t="str">
        <f>_xlfn.XLOOKUP(Table33[[#This Row],[UN Country Name]],Table1[country_name],Table1[country_ISO3],"check")</f>
        <v>TZA</v>
      </c>
      <c r="D140" s="13">
        <v>2.5991124867902773</v>
      </c>
      <c r="E140" s="13">
        <v>0.16250657483908154</v>
      </c>
      <c r="F140" s="13">
        <v>9.5892166634643089E-2</v>
      </c>
      <c r="G140" s="13">
        <v>1.4500820954222307</v>
      </c>
      <c r="H140" s="18">
        <v>4.3075933236862323</v>
      </c>
      <c r="I140" s="22">
        <v>0.55500000000000005</v>
      </c>
      <c r="J140">
        <v>1.0402632937842251</v>
      </c>
      <c r="K140">
        <v>66617.600000000006</v>
      </c>
    </row>
    <row r="141" spans="1:11" x14ac:dyDescent="0.25">
      <c r="A141" s="12" t="s">
        <v>85</v>
      </c>
      <c r="B141" s="21" t="s">
        <v>85</v>
      </c>
      <c r="C141" s="12" t="str">
        <f>_xlfn.XLOOKUP(Table33[[#This Row],[UN Country Name]],Table1[country_name],Table1[country_ISO3],"check")</f>
        <v>THA</v>
      </c>
      <c r="D141" s="13">
        <v>3.6759785446512252</v>
      </c>
      <c r="E141" s="13">
        <v>1.4493031753469898</v>
      </c>
      <c r="F141" s="13">
        <v>0.98125898156825997</v>
      </c>
      <c r="G141" s="13">
        <v>5.7641903060427548</v>
      </c>
      <c r="H141">
        <v>11.87073100760923</v>
      </c>
      <c r="I141">
        <v>0.79800000000000004</v>
      </c>
      <c r="J141">
        <v>2.531726943589057</v>
      </c>
      <c r="K141" s="21">
        <v>71702.399999999994</v>
      </c>
    </row>
    <row r="142" spans="1:11" x14ac:dyDescent="0.25">
      <c r="A142" s="12" t="s">
        <v>170</v>
      </c>
      <c r="B142" s="21" t="s">
        <v>170</v>
      </c>
      <c r="C142" s="12" t="str">
        <f>_xlfn.XLOOKUP(Table33[[#This Row],[UN Country Name]],Table1[country_name],Table1[country_ISO3],"check")</f>
        <v>TGO</v>
      </c>
      <c r="D142" s="13">
        <v>1.6824711908636185</v>
      </c>
      <c r="E142" s="13">
        <v>0.21386944157242749</v>
      </c>
      <c r="F142" s="13">
        <v>5.4650625407068103E-2</v>
      </c>
      <c r="G142" s="13">
        <v>0.48003490844057717</v>
      </c>
      <c r="H142" s="18">
        <v>2.4310261662836914</v>
      </c>
      <c r="I142" s="18">
        <v>0.57099999999999995</v>
      </c>
      <c r="J142">
        <v>1.140956370897882</v>
      </c>
      <c r="K142" s="21">
        <v>9304.34</v>
      </c>
    </row>
    <row r="143" spans="1:11" x14ac:dyDescent="0.25">
      <c r="A143" s="12" t="s">
        <v>113</v>
      </c>
      <c r="B143" s="21" t="s">
        <v>113</v>
      </c>
      <c r="C143" s="12" t="str">
        <f>_xlfn.XLOOKUP(Table33[[#This Row],[UN Country Name]],Table1[country_name],Table1[country_ISO3],"check")</f>
        <v>TUN</v>
      </c>
      <c r="D143" s="13">
        <v>2.1982323530376053</v>
      </c>
      <c r="E143" s="13">
        <v>0.55105881774368048</v>
      </c>
      <c r="F143" s="13">
        <v>0.2209345595226386</v>
      </c>
      <c r="G143" s="13">
        <v>4.468566440444576</v>
      </c>
      <c r="H143" s="18">
        <v>7.4387921707485001</v>
      </c>
      <c r="I143" s="18">
        <v>0.746</v>
      </c>
      <c r="J143">
        <v>1.6787229107242385</v>
      </c>
      <c r="K143" s="21">
        <v>12200.4</v>
      </c>
    </row>
    <row r="144" spans="1:11" x14ac:dyDescent="0.25">
      <c r="A144" s="12" t="s">
        <v>527</v>
      </c>
      <c r="B144" s="21" t="s">
        <v>58</v>
      </c>
      <c r="C144" s="12" t="str">
        <f>_xlfn.XLOOKUP(Table33[[#This Row],[UN Country Name]],Table1[country_name],Table1[country_ISO3],"check")</f>
        <v>TUR</v>
      </c>
      <c r="D144" s="13">
        <v>3.429674380231579</v>
      </c>
      <c r="E144" s="13">
        <v>2.6621908204948981</v>
      </c>
      <c r="F144" s="13">
        <v>1.2612394566319662</v>
      </c>
      <c r="G144" s="13">
        <v>12.687877209366281</v>
      </c>
      <c r="H144" s="18">
        <v>20.040981866724724</v>
      </c>
      <c r="I144" s="22">
        <v>0.85299999999999998</v>
      </c>
      <c r="J144">
        <v>3.238939355223128</v>
      </c>
      <c r="K144" s="21">
        <v>87270.5</v>
      </c>
    </row>
    <row r="145" spans="1:11" x14ac:dyDescent="0.25">
      <c r="A145" s="12" t="s">
        <v>103</v>
      </c>
      <c r="B145" s="21" t="s">
        <v>103</v>
      </c>
      <c r="C145" s="12" t="str">
        <f>_xlfn.XLOOKUP(Table33[[#This Row],[UN Country Name]],Table1[country_name],Table1[country_ISO3],"check")</f>
        <v>TKM</v>
      </c>
      <c r="D145" s="13">
        <v>3.1238714688421658</v>
      </c>
      <c r="E145" s="13">
        <v>0.76697454253140773</v>
      </c>
      <c r="F145" s="13">
        <v>1.0034930015045271</v>
      </c>
      <c r="G145" s="13">
        <v>5.1742399965238359</v>
      </c>
      <c r="H145">
        <v>10.068579009401937</v>
      </c>
      <c r="I145">
        <v>0.76400000000000001</v>
      </c>
      <c r="J145">
        <v>4.6342377696063783</v>
      </c>
      <c r="K145" s="21">
        <v>7364.44</v>
      </c>
    </row>
    <row r="146" spans="1:11" x14ac:dyDescent="0.25">
      <c r="A146" s="12" t="s">
        <v>167</v>
      </c>
      <c r="B146" s="21" t="s">
        <v>167</v>
      </c>
      <c r="C146" s="12" t="str">
        <f>_xlfn.XLOOKUP(Table33[[#This Row],[UN Country Name]],Table1[country_name],Table1[country_ISO3],"check")</f>
        <v>UGA</v>
      </c>
      <c r="D146" s="13">
        <v>2.1779440815839988</v>
      </c>
      <c r="E146" s="13">
        <v>6.317667079080741E-2</v>
      </c>
      <c r="F146" s="13">
        <v>0.18979203232449451</v>
      </c>
      <c r="G146" s="13">
        <v>1.4347169140466041</v>
      </c>
      <c r="H146" s="18">
        <v>3.8656296987459049</v>
      </c>
      <c r="I146" s="18">
        <v>0.58199999999999996</v>
      </c>
      <c r="J146">
        <v>1.1142756583896121</v>
      </c>
      <c r="K146" s="21">
        <v>48656.6</v>
      </c>
    </row>
    <row r="147" spans="1:11" x14ac:dyDescent="0.25">
      <c r="A147" s="12" t="s">
        <v>95</v>
      </c>
      <c r="B147" s="21" t="s">
        <v>95</v>
      </c>
      <c r="C147" s="12" t="str">
        <f>_xlfn.XLOOKUP(Table33[[#This Row],[UN Country Name]],Table1[country_name],Table1[country_ISO3],"check")</f>
        <v>UKR</v>
      </c>
      <c r="D147" s="13">
        <v>7.1908476709918165</v>
      </c>
      <c r="E147" s="13">
        <v>0.88025831637196283</v>
      </c>
      <c r="F147" s="13">
        <v>0.24327240491031676</v>
      </c>
      <c r="G147" s="13">
        <v>1.4154483897298902</v>
      </c>
      <c r="H147" s="18">
        <v>9.7298267820039861</v>
      </c>
      <c r="I147" s="18">
        <v>0.77900000000000003</v>
      </c>
      <c r="K147" s="21">
        <v>37732.800000000003</v>
      </c>
    </row>
    <row r="148" spans="1:11" x14ac:dyDescent="0.25">
      <c r="A148" s="12" t="s">
        <v>22</v>
      </c>
      <c r="B148" s="21" t="s">
        <v>22</v>
      </c>
      <c r="C148" s="12" t="str">
        <f>_xlfn.XLOOKUP(Table33[[#This Row],[UN Country Name]],Table1[country_name],Table1[country_ISO3],"check")</f>
        <v>ARE</v>
      </c>
      <c r="D148" s="13">
        <v>3.5090281053551462</v>
      </c>
      <c r="E148" s="13">
        <v>10.629399084767105</v>
      </c>
      <c r="F148" s="13">
        <v>9.8864487272248898</v>
      </c>
      <c r="G148" s="13">
        <v>11.536583475066012</v>
      </c>
      <c r="H148" s="18">
        <v>35.561459392413148</v>
      </c>
      <c r="I148" s="18">
        <v>0.94</v>
      </c>
      <c r="K148" s="21">
        <v>10642.1</v>
      </c>
    </row>
    <row r="149" spans="1:11" x14ac:dyDescent="0.25">
      <c r="A149" s="12" t="s">
        <v>21</v>
      </c>
      <c r="B149" s="21" t="s">
        <v>21</v>
      </c>
      <c r="C149" s="12" t="str">
        <f>_xlfn.XLOOKUP(Table33[[#This Row],[UN Country Name]],Table1[country_name],Table1[country_ISO3],"check")</f>
        <v>GBR</v>
      </c>
      <c r="D149" s="13">
        <v>4.0357402122796033</v>
      </c>
      <c r="E149" s="13">
        <v>3.2380497939810433</v>
      </c>
      <c r="F149" s="13">
        <v>1.6734578134327271</v>
      </c>
      <c r="G149" s="13">
        <v>8.1297666671519888</v>
      </c>
      <c r="H149" s="18">
        <v>17.077014486845361</v>
      </c>
      <c r="I149" s="18">
        <v>0.94599999999999995</v>
      </c>
      <c r="J149">
        <v>3.6462562934059375</v>
      </c>
      <c r="K149" s="21">
        <v>68683</v>
      </c>
    </row>
    <row r="150" spans="1:11" x14ac:dyDescent="0.25">
      <c r="A150" s="12" t="s">
        <v>478</v>
      </c>
      <c r="B150" s="21" t="s">
        <v>478</v>
      </c>
      <c r="C150" s="12" t="str">
        <f>_xlfn.XLOOKUP(Table33[[#This Row],[UN Country Name]],Table1[country_name],Table1[country_ISO3],"check")</f>
        <v>USA</v>
      </c>
      <c r="D150" s="13">
        <v>7.2645047557769518</v>
      </c>
      <c r="E150" s="13">
        <v>8.1229064857326687</v>
      </c>
      <c r="F150" s="13">
        <v>3.5443790996194795</v>
      </c>
      <c r="G150" s="13">
        <v>12.271500321710041</v>
      </c>
      <c r="H150" s="18">
        <v>31.203290662839141</v>
      </c>
      <c r="I150" s="22">
        <v>0.93799999999999994</v>
      </c>
      <c r="J150">
        <v>7.1419742282598255</v>
      </c>
      <c r="K150" s="21">
        <v>343477</v>
      </c>
    </row>
    <row r="151" spans="1:11" x14ac:dyDescent="0.25">
      <c r="A151" s="12" t="s">
        <v>56</v>
      </c>
      <c r="B151" s="21" t="s">
        <v>56</v>
      </c>
      <c r="C151" s="12" t="str">
        <f>_xlfn.XLOOKUP(Table33[[#This Row],[UN Country Name]],Table1[country_name],Table1[country_ISO3],"check")</f>
        <v>URY</v>
      </c>
      <c r="D151" s="13">
        <v>4.065914618308895</v>
      </c>
      <c r="E151" s="13">
        <v>1.5593306533493896</v>
      </c>
      <c r="F151" s="13">
        <v>1.0883158012797809</v>
      </c>
      <c r="G151" s="13">
        <v>2.847253606762532</v>
      </c>
      <c r="H151">
        <v>9.5608146797005968</v>
      </c>
      <c r="I151">
        <v>0.86199999999999999</v>
      </c>
      <c r="K151" s="21">
        <v>3388.08</v>
      </c>
    </row>
    <row r="152" spans="1:11" x14ac:dyDescent="0.25">
      <c r="A152" s="12" t="s">
        <v>115</v>
      </c>
      <c r="B152" s="21" t="s">
        <v>115</v>
      </c>
      <c r="C152" s="12" t="str">
        <f>_xlfn.XLOOKUP(Table33[[#This Row],[UN Country Name]],Table1[country_name],Table1[country_ISO3],"check")</f>
        <v>UZB</v>
      </c>
      <c r="D152" s="13">
        <v>1.2862884862968167</v>
      </c>
      <c r="E152" s="13">
        <v>0.53148764595832532</v>
      </c>
      <c r="F152" s="13">
        <v>0.33147491185701905</v>
      </c>
      <c r="G152" s="13">
        <v>2.8592473416862307</v>
      </c>
      <c r="H152" s="18">
        <v>5.0084983857983918</v>
      </c>
      <c r="I152" s="18">
        <v>0.74</v>
      </c>
      <c r="J152">
        <v>2.3136164567222872</v>
      </c>
      <c r="K152" s="21">
        <v>35652.300000000003</v>
      </c>
    </row>
    <row r="153" spans="1:11" x14ac:dyDescent="0.25">
      <c r="A153" s="12" t="s">
        <v>529</v>
      </c>
      <c r="B153" s="21" t="s">
        <v>485</v>
      </c>
      <c r="C153" s="12" t="str">
        <f>_xlfn.XLOOKUP(Table33[[#This Row],[UN Country Name]],Table1[country_name],Table1[country_ISO3],"check")</f>
        <v>VEN</v>
      </c>
      <c r="D153" s="13">
        <v>3.9656649788522627</v>
      </c>
      <c r="E153" s="13">
        <v>0.75686787345985462</v>
      </c>
      <c r="F153" s="13">
        <v>1.1636109452349572</v>
      </c>
      <c r="G153" s="13">
        <v>4.7063908921624398</v>
      </c>
      <c r="H153" s="18">
        <v>10.592534689709515</v>
      </c>
      <c r="I153" s="22">
        <v>0.70899999999999996</v>
      </c>
      <c r="J153">
        <v>1.9964365444208487</v>
      </c>
      <c r="K153" s="21">
        <v>28300.9</v>
      </c>
    </row>
    <row r="154" spans="1:11" x14ac:dyDescent="0.25">
      <c r="A154" s="12" t="s">
        <v>102</v>
      </c>
      <c r="B154" s="21" t="s">
        <v>102</v>
      </c>
      <c r="C154" s="12" t="str">
        <f>_xlfn.XLOOKUP(Table33[[#This Row],[UN Country Name]],Table1[country_name],Table1[country_ISO3],"check")</f>
        <v>VNM</v>
      </c>
      <c r="D154" s="13">
        <v>2.6207793865593114</v>
      </c>
      <c r="E154" s="13">
        <v>1.0334286611128827</v>
      </c>
      <c r="F154" s="13">
        <v>0.88114640465561223</v>
      </c>
      <c r="G154" s="13">
        <v>7.015334273357781</v>
      </c>
      <c r="H154">
        <v>11.550688725685587</v>
      </c>
      <c r="I154">
        <v>0.76600000000000001</v>
      </c>
      <c r="J154">
        <v>2.3110366111288267</v>
      </c>
      <c r="K154" s="21">
        <v>100352</v>
      </c>
    </row>
    <row r="155" spans="1:11" x14ac:dyDescent="0.25">
      <c r="A155" s="12" t="s">
        <v>194</v>
      </c>
      <c r="B155" s="21" t="s">
        <v>194</v>
      </c>
      <c r="C155" s="12" t="str">
        <f>_xlfn.XLOOKUP(Table33[[#This Row],[UN Country Name]],Table1[country_name],Table1[country_ISO3],"check")</f>
        <v>YEM</v>
      </c>
      <c r="D155" s="13">
        <v>0.77829757202189342</v>
      </c>
      <c r="E155" s="13">
        <v>5.9942093077571409E-2</v>
      </c>
      <c r="F155" s="13">
        <v>5.6296368695228326E-2</v>
      </c>
      <c r="G155" s="13">
        <v>0.52872449912162234</v>
      </c>
      <c r="H155" s="18">
        <v>1.4232605329163155</v>
      </c>
      <c r="I155" s="18">
        <v>0.47</v>
      </c>
      <c r="J155">
        <v>0.55397437980442132</v>
      </c>
      <c r="K155" s="21">
        <v>39390.800000000003</v>
      </c>
    </row>
    <row r="156" spans="1:11" x14ac:dyDescent="0.25">
      <c r="A156" s="12" t="s">
        <v>163</v>
      </c>
      <c r="B156" s="21" t="s">
        <v>163</v>
      </c>
      <c r="C156" s="12" t="str">
        <f>_xlfn.XLOOKUP(Table33[[#This Row],[UN Country Name]],Table1[country_name],Table1[country_ISO3],"check")</f>
        <v>ZMB</v>
      </c>
      <c r="D156" s="13">
        <v>1.2872364890947694</v>
      </c>
      <c r="E156" s="13">
        <v>0.16717245705462266</v>
      </c>
      <c r="F156" s="13">
        <v>0.11469663192433893</v>
      </c>
      <c r="G156" s="13">
        <v>1.0884056166763174</v>
      </c>
      <c r="H156" s="18">
        <v>2.657511194750048</v>
      </c>
      <c r="I156" s="18">
        <v>0.59499999999999997</v>
      </c>
      <c r="J156">
        <v>1.1673464099594673</v>
      </c>
      <c r="K156" s="21">
        <v>20724</v>
      </c>
    </row>
    <row r="157" spans="1:11" x14ac:dyDescent="0.25">
      <c r="A157" s="12" t="s">
        <v>162</v>
      </c>
      <c r="B157" s="21" t="s">
        <v>162</v>
      </c>
      <c r="C157" s="12" t="str">
        <f>_xlfn.XLOOKUP(Table33[[#This Row],[UN Country Name]],Table1[country_name],Table1[country_ISO3],"check")</f>
        <v>ZWE</v>
      </c>
      <c r="D157" s="13">
        <v>2.065098342798394</v>
      </c>
      <c r="E157" s="13">
        <v>0.29320014931949478</v>
      </c>
      <c r="F157" s="13"/>
      <c r="G157" s="13"/>
      <c r="H157" s="18">
        <v>2.3582984921178891</v>
      </c>
      <c r="I157" s="18">
        <v>0.59799999999999998</v>
      </c>
      <c r="J157">
        <v>1.3027119847253501</v>
      </c>
      <c r="K157" s="21">
        <v>16340.8</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DCFD83-3074-4A1E-AFFC-C10067BBAC5A}">
  <sheetPr>
    <tabColor theme="4"/>
  </sheetPr>
  <dimension ref="A1:C11"/>
  <sheetViews>
    <sheetView workbookViewId="0">
      <selection activeCell="J28" sqref="J28"/>
    </sheetView>
  </sheetViews>
  <sheetFormatPr defaultRowHeight="15" x14ac:dyDescent="0.25"/>
  <cols>
    <col min="1" max="2" width="14.42578125" customWidth="1"/>
  </cols>
  <sheetData>
    <row r="1" spans="1:3" x14ac:dyDescent="0.25">
      <c r="A1" s="16" t="s">
        <v>1</v>
      </c>
      <c r="B1" s="16" t="s">
        <v>561</v>
      </c>
      <c r="C1" s="17" t="s">
        <v>534</v>
      </c>
    </row>
    <row r="2" spans="1:3" x14ac:dyDescent="0.25">
      <c r="A2" s="12" t="s">
        <v>29</v>
      </c>
      <c r="B2" s="12" t="s">
        <v>230</v>
      </c>
      <c r="C2" s="18">
        <v>25.358323759121969</v>
      </c>
    </row>
    <row r="3" spans="1:3" x14ac:dyDescent="0.25">
      <c r="A3" s="12" t="s">
        <v>17</v>
      </c>
      <c r="B3" s="12" t="s">
        <v>237</v>
      </c>
      <c r="C3" s="18">
        <v>45.566686217759909</v>
      </c>
    </row>
    <row r="4" spans="1:3" x14ac:dyDescent="0.25">
      <c r="A4" s="12" t="s">
        <v>11</v>
      </c>
      <c r="B4" s="12" t="s">
        <v>282</v>
      </c>
      <c r="C4" s="18">
        <v>26.229684909904609</v>
      </c>
    </row>
    <row r="5" spans="1:3" x14ac:dyDescent="0.25">
      <c r="A5" s="12" t="s">
        <v>33</v>
      </c>
      <c r="B5" s="12" t="s">
        <v>301</v>
      </c>
      <c r="C5" s="18">
        <v>17.267028436560775</v>
      </c>
    </row>
    <row r="6" spans="1:3" x14ac:dyDescent="0.25">
      <c r="A6" s="12" t="s">
        <v>12</v>
      </c>
      <c r="B6" s="12" t="s">
        <v>309</v>
      </c>
      <c r="C6" s="18">
        <v>23.970287268090864</v>
      </c>
    </row>
    <row r="7" spans="1:3" x14ac:dyDescent="0.25">
      <c r="A7" s="12" t="s">
        <v>51</v>
      </c>
      <c r="B7" s="12" t="s">
        <v>442</v>
      </c>
      <c r="C7" s="18">
        <v>17.117922422010633</v>
      </c>
    </row>
    <row r="8" spans="1:3" x14ac:dyDescent="0.25">
      <c r="A8" s="12" t="s">
        <v>13</v>
      </c>
      <c r="B8" s="12" t="s">
        <v>455</v>
      </c>
      <c r="C8" s="18">
        <v>24.119369473534569</v>
      </c>
    </row>
    <row r="9" spans="1:3" x14ac:dyDescent="0.25">
      <c r="A9" s="12" t="s">
        <v>10</v>
      </c>
      <c r="B9" s="12" t="s">
        <v>456</v>
      </c>
      <c r="C9" s="18">
        <v>39.497183830558612</v>
      </c>
    </row>
    <row r="10" spans="1:3" x14ac:dyDescent="0.25">
      <c r="A10" s="12" t="s">
        <v>95</v>
      </c>
      <c r="B10" s="12" t="s">
        <v>475</v>
      </c>
      <c r="C10" s="18">
        <v>9.7298267820039861</v>
      </c>
    </row>
    <row r="11" spans="1:3" x14ac:dyDescent="0.25">
      <c r="A11" s="12" t="s">
        <v>21</v>
      </c>
      <c r="B11" s="12" t="s">
        <v>477</v>
      </c>
      <c r="C11" s="18">
        <v>17.077014486845361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C11FFAF15223043965EA287E330444F" ma:contentTypeVersion="11" ma:contentTypeDescription="Create a new document." ma:contentTypeScope="" ma:versionID="84ea9aad0fc168d7027ea2bf0e079fd2">
  <xsd:schema xmlns:xsd="http://www.w3.org/2001/XMLSchema" xmlns:xs="http://www.w3.org/2001/XMLSchema" xmlns:p="http://schemas.microsoft.com/office/2006/metadata/properties" xmlns:ns3="801e5e70-4b04-4c33-a84f-0b2f5095ca89" targetNamespace="http://schemas.microsoft.com/office/2006/metadata/properties" ma:root="true" ma:fieldsID="633f5ce9f8c19d90a6ce7bef7e718d00" ns3:_="">
    <xsd:import namespace="801e5e70-4b04-4c33-a84f-0b2f5095ca89"/>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_activity" minOccurs="0"/>
                <xsd:element ref="ns3:MediaServiceSystemTags" minOccurs="0"/>
                <xsd:element ref="ns3:MediaServiceOCR" minOccurs="0"/>
                <xsd:element ref="ns3:MediaServiceGenerationTime" minOccurs="0"/>
                <xsd:element ref="ns3:MediaServiceEventHashCode" minOccurs="0"/>
                <xsd:element ref="ns3:MediaLengthInSecond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01e5e70-4b04-4c33-a84f-0b2f5095ca89"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2" nillable="true" ma:displayName="_activity" ma:hidden="true" ma:internalName="_activity">
      <xsd:simpleType>
        <xsd:restriction base="dms:Note"/>
      </xsd:simpleType>
    </xsd:element>
    <xsd:element name="MediaServiceSystemTags" ma:index="13" nillable="true" ma:displayName="MediaServiceSystemTags" ma:hidden="true" ma:internalName="MediaServiceSystemTags" ma:readOnly="true">
      <xsd:simpleType>
        <xsd:restriction base="dms:Note"/>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BillingMetadata" ma:index="18"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801e5e70-4b04-4c33-a84f-0b2f5095ca89" xsi:nil="true"/>
  </documentManagement>
</p:properties>
</file>

<file path=customXml/itemProps1.xml><?xml version="1.0" encoding="utf-8"?>
<ds:datastoreItem xmlns:ds="http://schemas.openxmlformats.org/officeDocument/2006/customXml" ds:itemID="{AA503E33-2D67-40A2-B364-C3C3010FFBC5}">
  <ds:schemaRefs>
    <ds:schemaRef ds:uri="http://schemas.microsoft.com/sharepoint/v3/contenttype/forms"/>
  </ds:schemaRefs>
</ds:datastoreItem>
</file>

<file path=customXml/itemProps2.xml><?xml version="1.0" encoding="utf-8"?>
<ds:datastoreItem xmlns:ds="http://schemas.openxmlformats.org/officeDocument/2006/customXml" ds:itemID="{D1F46253-E993-4AC5-AA84-EFF93F34F35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01e5e70-4b04-4c33-a84f-0b2f5095ca8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40FDDC6-07AB-4C95-B7B7-12155C2FFBDD}">
  <ds:schemaRefs>
    <ds:schemaRef ds:uri="http://schemas.openxmlformats.org/package/2006/metadata/core-properties"/>
    <ds:schemaRef ds:uri="http://www.w3.org/XML/1998/namespace"/>
    <ds:schemaRef ds:uri="http://purl.org/dc/dcmitype/"/>
    <ds:schemaRef ds:uri="http://purl.org/dc/elements/1.1/"/>
    <ds:schemaRef ds:uri="http://schemas.microsoft.com/office/2006/metadata/properties"/>
    <ds:schemaRef ds:uri="801e5e70-4b04-4c33-a84f-0b2f5095ca89"/>
    <ds:schemaRef ds:uri="http://schemas.microsoft.com/office/2006/documentManagement/types"/>
    <ds:schemaRef ds:uri="http://schemas.microsoft.com/office/infopath/2007/PartnerControls"/>
    <ds:schemaRef ds:uri="http://purl.org/dc/terms/"/>
  </ds:schemaRefs>
</ds:datastoreItem>
</file>

<file path=docMetadata/LabelInfo.xml><?xml version="1.0" encoding="utf-8"?>
<clbl:labelList xmlns:clbl="http://schemas.microsoft.com/office/2020/mipLabelMetadata">
  <clbl:label id="{d465f887-04a9-4c17-8b62-103eddccf68b}" enabled="1" method="Standard" siteId="{ca2a7f76-dbd7-4ec0-9108-6b3d524fb7c8}"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README</vt:lpstr>
      <vt:lpstr>Ecological FP</vt:lpstr>
      <vt:lpstr>Human Development Index</vt:lpstr>
      <vt:lpstr>Material FP</vt:lpstr>
      <vt:lpstr>EU_MF_tpc</vt:lpstr>
      <vt:lpstr>dataviz</vt:lpstr>
      <vt:lpstr>dataviz_simple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Logan, H.M. (Heather)</dc:creator>
  <cp:keywords/>
  <dc:description/>
  <cp:lastModifiedBy>Logan, H.M. (Heath)</cp:lastModifiedBy>
  <cp:revision/>
  <dcterms:created xsi:type="dcterms:W3CDTF">2026-09-24T13:22:59Z</dcterms:created>
  <dcterms:modified xsi:type="dcterms:W3CDTF">2026-10-09T08:02:54Z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0x010100AC11FFAF15223043965EA287E330444F</vt:lpwstr>
  </property>
</Properties>
</file>